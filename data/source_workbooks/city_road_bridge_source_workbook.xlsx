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davidlevinson/Documents/Papers/~01-In Preparation/Xian - Reynolds Walsh - Walking Speeds/Lexie Walsh - Pedestrian Study/"/>
    </mc:Choice>
  </mc:AlternateContent>
  <xr:revisionPtr revIDLastSave="0" documentId="10_ncr:8100000_{40400097-E1EB-D846-A8BA-DADBF838B5CC}" xr6:coauthVersionLast="34" xr6:coauthVersionMax="34" xr10:uidLastSave="{00000000-0000-0000-0000-000000000000}"/>
  <bookViews>
    <workbookView xWindow="18420" yWindow="0" windowWidth="35920" windowHeight="23780" tabRatio="500" activeTab="2" xr2:uid="{00000000-000D-0000-FFFF-FFFF00000000}"/>
  </bookViews>
  <sheets>
    <sheet name="Analysis" sheetId="2" r:id="rId1"/>
    <sheet name="Raw data" sheetId="1" r:id="rId2"/>
    <sheet name="Towards" sheetId="3" r:id="rId3"/>
    <sheet name="Away" sheetId="4" r:id="rId4"/>
  </sheets>
  <definedNames>
    <definedName name="_xlnm._FilterDatabase" localSheetId="3" hidden="1">Away!$A$1:$AC$115</definedName>
    <definedName name="_xlnm._FilterDatabase" localSheetId="1" hidden="1">'Raw data'!$A$1:$O$181</definedName>
    <definedName name="_xlnm._FilterDatabase" localSheetId="2" hidden="1">Towards!$A$1:$AC$68</definedName>
  </definedNames>
  <calcPr calcId="162913"/>
  <fileRecoveryPr repairLoad="1"/>
  <extLs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Z115" i="4" l="1"/>
  <c r="Z114" i="4"/>
  <c r="Z113" i="4"/>
  <c r="Z112" i="4"/>
  <c r="Z111" i="4"/>
  <c r="Z110" i="4"/>
  <c r="Z109" i="4"/>
  <c r="Z108" i="4"/>
  <c r="Z107" i="4"/>
  <c r="Z106" i="4"/>
  <c r="Z105" i="4"/>
  <c r="Z104" i="4"/>
  <c r="Z103" i="4"/>
  <c r="Z102" i="4"/>
  <c r="Z101" i="4"/>
  <c r="Z100" i="4"/>
  <c r="Z99" i="4"/>
  <c r="Z98" i="4"/>
  <c r="Z97" i="4"/>
  <c r="Z96" i="4"/>
  <c r="Z95" i="4"/>
  <c r="Z94" i="4"/>
  <c r="Z93" i="4"/>
  <c r="Z92" i="4"/>
  <c r="Z91" i="4"/>
  <c r="Z90" i="4"/>
  <c r="Z89" i="4"/>
  <c r="Z88" i="4"/>
  <c r="Z87" i="4"/>
  <c r="Z86" i="4"/>
  <c r="Z85" i="4"/>
  <c r="Z84" i="4"/>
  <c r="Z83" i="4"/>
  <c r="Z82" i="4"/>
  <c r="Z81" i="4"/>
  <c r="Z80" i="4"/>
  <c r="Z79" i="4"/>
  <c r="Z78" i="4"/>
  <c r="Z77" i="4"/>
  <c r="Z76" i="4"/>
  <c r="Z75" i="4"/>
  <c r="Z74" i="4"/>
  <c r="Z73" i="4"/>
  <c r="Z72" i="4"/>
  <c r="Z71" i="4"/>
  <c r="Z70" i="4"/>
  <c r="Z69" i="4"/>
  <c r="Z68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3" i="4"/>
  <c r="AB3" i="4"/>
  <c r="AA3" i="4"/>
  <c r="Z67" i="3"/>
  <c r="AC67" i="3" s="1"/>
  <c r="Z66" i="3"/>
  <c r="AC66" i="3" s="1"/>
  <c r="Z65" i="3"/>
  <c r="AC65" i="3" s="1"/>
  <c r="Z64" i="3"/>
  <c r="AC64" i="3" s="1"/>
  <c r="AC63" i="3"/>
  <c r="Z63" i="3"/>
  <c r="Z62" i="3"/>
  <c r="AC62" i="3" s="1"/>
  <c r="Z61" i="3"/>
  <c r="AC61" i="3" s="1"/>
  <c r="Z60" i="3"/>
  <c r="AC60" i="3" s="1"/>
  <c r="Z59" i="3"/>
  <c r="AC59" i="3" s="1"/>
  <c r="Z58" i="3"/>
  <c r="AC58" i="3" s="1"/>
  <c r="Z57" i="3"/>
  <c r="AC57" i="3" s="1"/>
  <c r="Z56" i="3"/>
  <c r="AC56" i="3" s="1"/>
  <c r="Z55" i="3"/>
  <c r="AC55" i="3" s="1"/>
  <c r="Z54" i="3"/>
  <c r="AC54" i="3" s="1"/>
  <c r="Z53" i="3"/>
  <c r="AC53" i="3" s="1"/>
  <c r="Z52" i="3"/>
  <c r="AC52" i="3" s="1"/>
  <c r="Z51" i="3"/>
  <c r="AC51" i="3" s="1"/>
  <c r="Z50" i="3"/>
  <c r="AC50" i="3" s="1"/>
  <c r="Z49" i="3"/>
  <c r="AC49" i="3" s="1"/>
  <c r="Z48" i="3"/>
  <c r="AC48" i="3" s="1"/>
  <c r="Z47" i="3"/>
  <c r="AC47" i="3" s="1"/>
  <c r="Z46" i="3"/>
  <c r="AC46" i="3" s="1"/>
  <c r="Z45" i="3"/>
  <c r="AC45" i="3" s="1"/>
  <c r="Z44" i="3"/>
  <c r="AC44" i="3" s="1"/>
  <c r="Z43" i="3"/>
  <c r="AC43" i="3" s="1"/>
  <c r="Z42" i="3"/>
  <c r="AC42" i="3" s="1"/>
  <c r="Z41" i="3"/>
  <c r="AC41" i="3" s="1"/>
  <c r="Z40" i="3"/>
  <c r="AC40" i="3" s="1"/>
  <c r="Z39" i="3"/>
  <c r="AC39" i="3" s="1"/>
  <c r="Z38" i="3"/>
  <c r="AC38" i="3" s="1"/>
  <c r="Z37" i="3"/>
  <c r="AC37" i="3" s="1"/>
  <c r="Z36" i="3"/>
  <c r="AC36" i="3" s="1"/>
  <c r="Z35" i="3"/>
  <c r="AC35" i="3" s="1"/>
  <c r="Z34" i="3"/>
  <c r="AC34" i="3" s="1"/>
  <c r="Z33" i="3"/>
  <c r="AC33" i="3" s="1"/>
  <c r="Z32" i="3"/>
  <c r="AC32" i="3" s="1"/>
  <c r="Z31" i="3"/>
  <c r="AC31" i="3" s="1"/>
  <c r="Z30" i="3"/>
  <c r="AC30" i="3" s="1"/>
  <c r="Z29" i="3"/>
  <c r="AC29" i="3" s="1"/>
  <c r="Z28" i="3"/>
  <c r="AC28" i="3" s="1"/>
  <c r="Z27" i="3"/>
  <c r="AC27" i="3" s="1"/>
  <c r="Z26" i="3"/>
  <c r="AC26" i="3" s="1"/>
  <c r="Z25" i="3"/>
  <c r="AC25" i="3" s="1"/>
  <c r="Z24" i="3"/>
  <c r="AC24" i="3" s="1"/>
  <c r="Z23" i="3"/>
  <c r="AC23" i="3" s="1"/>
  <c r="Z22" i="3"/>
  <c r="AC22" i="3" s="1"/>
  <c r="Z21" i="3"/>
  <c r="AC21" i="3" s="1"/>
  <c r="Z20" i="3"/>
  <c r="AC20" i="3" s="1"/>
  <c r="Z19" i="3"/>
  <c r="AC19" i="3" s="1"/>
  <c r="Z18" i="3"/>
  <c r="AC18" i="3" s="1"/>
  <c r="Z17" i="3"/>
  <c r="AC17" i="3" s="1"/>
  <c r="Z16" i="3"/>
  <c r="AC16" i="3" s="1"/>
  <c r="Z15" i="3"/>
  <c r="AC15" i="3" s="1"/>
  <c r="Z14" i="3"/>
  <c r="AC14" i="3" s="1"/>
  <c r="Z13" i="3"/>
  <c r="AC13" i="3" s="1"/>
  <c r="Z12" i="3"/>
  <c r="AC12" i="3" s="1"/>
  <c r="Z11" i="3"/>
  <c r="AC11" i="3" s="1"/>
  <c r="Z10" i="3"/>
  <c r="AC10" i="3" s="1"/>
  <c r="Z9" i="3"/>
  <c r="AC9" i="3" s="1"/>
  <c r="Z8" i="3"/>
  <c r="AC8" i="3" s="1"/>
  <c r="Z7" i="3"/>
  <c r="AC7" i="3" s="1"/>
  <c r="Z6" i="3"/>
  <c r="AC6" i="3" s="1"/>
  <c r="Z5" i="3"/>
  <c r="AC5" i="3" s="1"/>
  <c r="Z4" i="3"/>
  <c r="AC4" i="3" s="1"/>
  <c r="Z3" i="3"/>
  <c r="AC3" i="3" s="1"/>
  <c r="AC2" i="3"/>
  <c r="V67" i="3"/>
  <c r="Y67" i="3" s="1"/>
  <c r="V66" i="3"/>
  <c r="Y66" i="3" s="1"/>
  <c r="V65" i="3"/>
  <c r="Y65" i="3" s="1"/>
  <c r="V64" i="3"/>
  <c r="Y64" i="3" s="1"/>
  <c r="V63" i="3"/>
  <c r="Y63" i="3" s="1"/>
  <c r="V62" i="3"/>
  <c r="Y62" i="3" s="1"/>
  <c r="V61" i="3"/>
  <c r="Y61" i="3" s="1"/>
  <c r="V60" i="3"/>
  <c r="Y60" i="3" s="1"/>
  <c r="V59" i="3"/>
  <c r="Y59" i="3" s="1"/>
  <c r="V58" i="3"/>
  <c r="Y58" i="3" s="1"/>
  <c r="V57" i="3"/>
  <c r="Y57" i="3" s="1"/>
  <c r="V56" i="3"/>
  <c r="Y56" i="3" s="1"/>
  <c r="V55" i="3"/>
  <c r="Y55" i="3" s="1"/>
  <c r="V54" i="3"/>
  <c r="Y54" i="3" s="1"/>
  <c r="V53" i="3"/>
  <c r="Y53" i="3" s="1"/>
  <c r="V52" i="3"/>
  <c r="Y52" i="3" s="1"/>
  <c r="V51" i="3"/>
  <c r="Y51" i="3" s="1"/>
  <c r="V50" i="3"/>
  <c r="Y50" i="3" s="1"/>
  <c r="V49" i="3"/>
  <c r="Y49" i="3" s="1"/>
  <c r="V48" i="3"/>
  <c r="Y48" i="3" s="1"/>
  <c r="V47" i="3"/>
  <c r="Y47" i="3" s="1"/>
  <c r="V46" i="3"/>
  <c r="Y46" i="3" s="1"/>
  <c r="V45" i="3"/>
  <c r="Y45" i="3" s="1"/>
  <c r="V44" i="3"/>
  <c r="Y44" i="3" s="1"/>
  <c r="V43" i="3"/>
  <c r="Y43" i="3" s="1"/>
  <c r="V42" i="3"/>
  <c r="Y42" i="3" s="1"/>
  <c r="V41" i="3"/>
  <c r="Y41" i="3" s="1"/>
  <c r="V40" i="3"/>
  <c r="Y40" i="3" s="1"/>
  <c r="V39" i="3"/>
  <c r="Y39" i="3" s="1"/>
  <c r="V38" i="3"/>
  <c r="Y38" i="3" s="1"/>
  <c r="V37" i="3"/>
  <c r="Y37" i="3" s="1"/>
  <c r="V36" i="3"/>
  <c r="Y36" i="3" s="1"/>
  <c r="V35" i="3"/>
  <c r="Y35" i="3" s="1"/>
  <c r="V34" i="3"/>
  <c r="Y34" i="3" s="1"/>
  <c r="V33" i="3"/>
  <c r="Y33" i="3" s="1"/>
  <c r="V32" i="3"/>
  <c r="Y32" i="3" s="1"/>
  <c r="V31" i="3"/>
  <c r="Y31" i="3" s="1"/>
  <c r="V30" i="3"/>
  <c r="Y30" i="3" s="1"/>
  <c r="V29" i="3"/>
  <c r="Y29" i="3" s="1"/>
  <c r="V28" i="3"/>
  <c r="Y28" i="3" s="1"/>
  <c r="V27" i="3"/>
  <c r="Y27" i="3" s="1"/>
  <c r="V26" i="3"/>
  <c r="Y26" i="3" s="1"/>
  <c r="V25" i="3"/>
  <c r="Y25" i="3" s="1"/>
  <c r="V24" i="3"/>
  <c r="Y24" i="3" s="1"/>
  <c r="V23" i="3"/>
  <c r="Y23" i="3" s="1"/>
  <c r="V22" i="3"/>
  <c r="Y22" i="3" s="1"/>
  <c r="V21" i="3"/>
  <c r="Y21" i="3" s="1"/>
  <c r="V20" i="3"/>
  <c r="Y20" i="3" s="1"/>
  <c r="V19" i="3"/>
  <c r="Y19" i="3" s="1"/>
  <c r="V18" i="3"/>
  <c r="Y18" i="3" s="1"/>
  <c r="V17" i="3"/>
  <c r="Y17" i="3" s="1"/>
  <c r="V16" i="3"/>
  <c r="Y16" i="3" s="1"/>
  <c r="V15" i="3"/>
  <c r="Y15" i="3" s="1"/>
  <c r="V14" i="3"/>
  <c r="Y14" i="3" s="1"/>
  <c r="V13" i="3"/>
  <c r="Y13" i="3" s="1"/>
  <c r="V12" i="3"/>
  <c r="Y12" i="3" s="1"/>
  <c r="V11" i="3"/>
  <c r="Y11" i="3" s="1"/>
  <c r="V10" i="3"/>
  <c r="Y10" i="3" s="1"/>
  <c r="V9" i="3"/>
  <c r="Y9" i="3" s="1"/>
  <c r="V8" i="3"/>
  <c r="Y8" i="3" s="1"/>
  <c r="V7" i="3"/>
  <c r="Y7" i="3" s="1"/>
  <c r="V6" i="3"/>
  <c r="Y6" i="3" s="1"/>
  <c r="V5" i="3"/>
  <c r="Y5" i="3" s="1"/>
  <c r="V4" i="3"/>
  <c r="Y4" i="3" s="1"/>
  <c r="Y2" i="3"/>
  <c r="V3" i="3"/>
  <c r="Y3" i="3" s="1"/>
  <c r="V3" i="4"/>
  <c r="W4" i="4" s="1"/>
  <c r="X5" i="4" s="1"/>
  <c r="V4" i="4"/>
  <c r="W5" i="4" s="1"/>
  <c r="V5" i="4"/>
  <c r="V6" i="4"/>
  <c r="V7" i="4"/>
  <c r="W8" i="4" s="1"/>
  <c r="X9" i="4" s="1"/>
  <c r="V8" i="4"/>
  <c r="W9" i="4" s="1"/>
  <c r="V9" i="4"/>
  <c r="V10" i="4"/>
  <c r="W11" i="4" s="1"/>
  <c r="V11" i="4"/>
  <c r="V12" i="4"/>
  <c r="W13" i="4" s="1"/>
  <c r="V13" i="4"/>
  <c r="V14" i="4"/>
  <c r="V15" i="4"/>
  <c r="W16" i="4" s="1"/>
  <c r="X17" i="4" s="1"/>
  <c r="V16" i="4"/>
  <c r="W17" i="4" s="1"/>
  <c r="V17" i="4"/>
  <c r="V18" i="4"/>
  <c r="W19" i="4" s="1"/>
  <c r="V19" i="4"/>
  <c r="W20" i="4" s="1"/>
  <c r="X21" i="4" s="1"/>
  <c r="V20" i="4"/>
  <c r="W21" i="4" s="1"/>
  <c r="V21" i="4"/>
  <c r="V22" i="4"/>
  <c r="V23" i="4"/>
  <c r="W24" i="4" s="1"/>
  <c r="X25" i="4" s="1"/>
  <c r="V24" i="4"/>
  <c r="W25" i="4" s="1"/>
  <c r="V25" i="4"/>
  <c r="W26" i="4" s="1"/>
  <c r="X27" i="4" s="1"/>
  <c r="V26" i="4"/>
  <c r="W27" i="4" s="1"/>
  <c r="V27" i="4"/>
  <c r="W28" i="4" s="1"/>
  <c r="X29" i="4" s="1"/>
  <c r="V28" i="4"/>
  <c r="W29" i="4" s="1"/>
  <c r="V29" i="4"/>
  <c r="V30" i="4"/>
  <c r="V31" i="4"/>
  <c r="W32" i="4" s="1"/>
  <c r="X33" i="4" s="1"/>
  <c r="V32" i="4"/>
  <c r="W33" i="4" s="1"/>
  <c r="X34" i="4" s="1"/>
  <c r="V33" i="4"/>
  <c r="W34" i="4" s="1"/>
  <c r="X35" i="4" s="1"/>
  <c r="V34" i="4"/>
  <c r="W35" i="4" s="1"/>
  <c r="V35" i="4"/>
  <c r="W36" i="4" s="1"/>
  <c r="X37" i="4" s="1"/>
  <c r="V36" i="4"/>
  <c r="W37" i="4" s="1"/>
  <c r="V37" i="4"/>
  <c r="V38" i="4"/>
  <c r="V39" i="4"/>
  <c r="W40" i="4" s="1"/>
  <c r="X41" i="4" s="1"/>
  <c r="V40" i="4"/>
  <c r="W41" i="4" s="1"/>
  <c r="V41" i="4"/>
  <c r="W42" i="4" s="1"/>
  <c r="X43" i="4" s="1"/>
  <c r="V42" i="4"/>
  <c r="W43" i="4" s="1"/>
  <c r="V43" i="4"/>
  <c r="W44" i="4" s="1"/>
  <c r="X45" i="4" s="1"/>
  <c r="V44" i="4"/>
  <c r="W45" i="4" s="1"/>
  <c r="V45" i="4"/>
  <c r="V46" i="4"/>
  <c r="V47" i="4"/>
  <c r="W48" i="4" s="1"/>
  <c r="X49" i="4" s="1"/>
  <c r="V48" i="4"/>
  <c r="W49" i="4" s="1"/>
  <c r="X50" i="4" s="1"/>
  <c r="V49" i="4"/>
  <c r="W50" i="4" s="1"/>
  <c r="X51" i="4" s="1"/>
  <c r="V50" i="4"/>
  <c r="W51" i="4" s="1"/>
  <c r="V51" i="4"/>
  <c r="W52" i="4" s="1"/>
  <c r="X53" i="4" s="1"/>
  <c r="V52" i="4"/>
  <c r="W53" i="4" s="1"/>
  <c r="X54" i="4" s="1"/>
  <c r="V53" i="4"/>
  <c r="V54" i="4"/>
  <c r="V55" i="4"/>
  <c r="V56" i="4"/>
  <c r="W57" i="4" s="1"/>
  <c r="X58" i="4" s="1"/>
  <c r="V57" i="4"/>
  <c r="W58" i="4" s="1"/>
  <c r="X59" i="4" s="1"/>
  <c r="V58" i="4"/>
  <c r="W59" i="4" s="1"/>
  <c r="V59" i="4"/>
  <c r="W60" i="4" s="1"/>
  <c r="X61" i="4" s="1"/>
  <c r="V60" i="4"/>
  <c r="W61" i="4" s="1"/>
  <c r="V61" i="4"/>
  <c r="V62" i="4"/>
  <c r="V63" i="4"/>
  <c r="W64" i="4" s="1"/>
  <c r="X65" i="4" s="1"/>
  <c r="V64" i="4"/>
  <c r="W65" i="4" s="1"/>
  <c r="V65" i="4"/>
  <c r="W66" i="4" s="1"/>
  <c r="X67" i="4" s="1"/>
  <c r="V66" i="4"/>
  <c r="W67" i="4" s="1"/>
  <c r="V67" i="4"/>
  <c r="V68" i="4"/>
  <c r="W69" i="4" s="1"/>
  <c r="V69" i="4"/>
  <c r="V70" i="4"/>
  <c r="V71" i="4"/>
  <c r="W72" i="4" s="1"/>
  <c r="X73" i="4" s="1"/>
  <c r="V72" i="4"/>
  <c r="W73" i="4" s="1"/>
  <c r="X74" i="4" s="1"/>
  <c r="V73" i="4"/>
  <c r="W74" i="4" s="1"/>
  <c r="X75" i="4" s="1"/>
  <c r="V74" i="4"/>
  <c r="W75" i="4" s="1"/>
  <c r="V75" i="4"/>
  <c r="W76" i="4" s="1"/>
  <c r="X77" i="4" s="1"/>
  <c r="V76" i="4"/>
  <c r="W77" i="4" s="1"/>
  <c r="X78" i="4" s="1"/>
  <c r="V77" i="4"/>
  <c r="V78" i="4"/>
  <c r="W79" i="4" s="1"/>
  <c r="X80" i="4" s="1"/>
  <c r="V79" i="4"/>
  <c r="W80" i="4" s="1"/>
  <c r="X81" i="4" s="1"/>
  <c r="V80" i="4"/>
  <c r="W81" i="4" s="1"/>
  <c r="X82" i="4" s="1"/>
  <c r="V81" i="4"/>
  <c r="V82" i="4"/>
  <c r="W83" i="4" s="1"/>
  <c r="V83" i="4"/>
  <c r="V84" i="4"/>
  <c r="V85" i="4"/>
  <c r="V86" i="4"/>
  <c r="W87" i="4" s="1"/>
  <c r="V87" i="4"/>
  <c r="W88" i="4" s="1"/>
  <c r="X89" i="4" s="1"/>
  <c r="V88" i="4"/>
  <c r="W89" i="4" s="1"/>
  <c r="V89" i="4"/>
  <c r="V90" i="4"/>
  <c r="W91" i="4" s="1"/>
  <c r="V91" i="4"/>
  <c r="W92" i="4" s="1"/>
  <c r="X93" i="4" s="1"/>
  <c r="V92" i="4"/>
  <c r="W93" i="4" s="1"/>
  <c r="V93" i="4"/>
  <c r="V94" i="4"/>
  <c r="V95" i="4"/>
  <c r="W96" i="4" s="1"/>
  <c r="X97" i="4" s="1"/>
  <c r="V96" i="4"/>
  <c r="W97" i="4" s="1"/>
  <c r="V97" i="4"/>
  <c r="W98" i="4" s="1"/>
  <c r="X99" i="4" s="1"/>
  <c r="V98" i="4"/>
  <c r="W99" i="4" s="1"/>
  <c r="V99" i="4"/>
  <c r="V100" i="4"/>
  <c r="V101" i="4"/>
  <c r="V102" i="4"/>
  <c r="V103" i="4"/>
  <c r="W104" i="4" s="1"/>
  <c r="X105" i="4" s="1"/>
  <c r="V104" i="4"/>
  <c r="W105" i="4" s="1"/>
  <c r="V105" i="4"/>
  <c r="W106" i="4" s="1"/>
  <c r="X107" i="4" s="1"/>
  <c r="V106" i="4"/>
  <c r="W107" i="4" s="1"/>
  <c r="V107" i="4"/>
  <c r="W108" i="4" s="1"/>
  <c r="X109" i="4" s="1"/>
  <c r="V108" i="4"/>
  <c r="W109" i="4" s="1"/>
  <c r="V109" i="4"/>
  <c r="V110" i="4"/>
  <c r="V111" i="4"/>
  <c r="W112" i="4" s="1"/>
  <c r="X113" i="4" s="1"/>
  <c r="V112" i="4"/>
  <c r="W113" i="4" s="1"/>
  <c r="V113" i="4"/>
  <c r="W114" i="4" s="1"/>
  <c r="X115" i="4" s="1"/>
  <c r="V114" i="4"/>
  <c r="W115" i="4" s="1"/>
  <c r="V115" i="4"/>
  <c r="V2" i="4"/>
  <c r="W3" i="4" s="1"/>
  <c r="W110" i="4"/>
  <c r="X111" i="4" s="1"/>
  <c r="W111" i="4"/>
  <c r="W102" i="4"/>
  <c r="X103" i="4" s="1"/>
  <c r="W103" i="4"/>
  <c r="W100" i="4"/>
  <c r="X101" i="4" s="1"/>
  <c r="W101" i="4"/>
  <c r="W94" i="4"/>
  <c r="X95" i="4" s="1"/>
  <c r="W95" i="4"/>
  <c r="W90" i="4"/>
  <c r="X91" i="4" s="1"/>
  <c r="W86" i="4"/>
  <c r="X87" i="4" s="1"/>
  <c r="W84" i="4"/>
  <c r="X85" i="4" s="1"/>
  <c r="W85" i="4"/>
  <c r="X86" i="4" s="1"/>
  <c r="W78" i="4"/>
  <c r="X79" i="4" s="1"/>
  <c r="W70" i="4"/>
  <c r="X71" i="4" s="1"/>
  <c r="W71" i="4"/>
  <c r="W68" i="4"/>
  <c r="X69" i="4" s="1"/>
  <c r="W62" i="4"/>
  <c r="X63" i="4" s="1"/>
  <c r="W63" i="4"/>
  <c r="X64" i="4" s="1"/>
  <c r="W56" i="4"/>
  <c r="X57" i="4" s="1"/>
  <c r="W54" i="4"/>
  <c r="X55" i="4" s="1"/>
  <c r="W55" i="4"/>
  <c r="W46" i="4"/>
  <c r="X47" i="4" s="1"/>
  <c r="W47" i="4"/>
  <c r="X48" i="4" s="1"/>
  <c r="W38" i="4"/>
  <c r="X39" i="4" s="1"/>
  <c r="W39" i="4"/>
  <c r="X40" i="4" s="1"/>
  <c r="W30" i="4"/>
  <c r="X31" i="4" s="1"/>
  <c r="W31" i="4"/>
  <c r="W22" i="4"/>
  <c r="X23" i="4" s="1"/>
  <c r="W23" i="4"/>
  <c r="W18" i="4"/>
  <c r="X19" i="4" s="1"/>
  <c r="W14" i="4"/>
  <c r="X15" i="4" s="1"/>
  <c r="W15" i="4"/>
  <c r="W12" i="4"/>
  <c r="X13" i="4" s="1"/>
  <c r="W10" i="4"/>
  <c r="X11" i="4" s="1"/>
  <c r="W6" i="4"/>
  <c r="X7" i="4" s="1"/>
  <c r="W7" i="4"/>
  <c r="X2" i="4"/>
  <c r="W2" i="4"/>
  <c r="X3" i="4" s="1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115" i="4"/>
  <c r="R114" i="4"/>
  <c r="R113" i="4"/>
  <c r="R112" i="4"/>
  <c r="R111" i="4"/>
  <c r="S112" i="4" s="1"/>
  <c r="T113" i="4" s="1"/>
  <c r="R110" i="4"/>
  <c r="R109" i="4"/>
  <c r="S110" i="4" s="1"/>
  <c r="R108" i="4"/>
  <c r="R107" i="4"/>
  <c r="R106" i="4"/>
  <c r="R105" i="4"/>
  <c r="R104" i="4"/>
  <c r="U104" i="4" s="1"/>
  <c r="R103" i="4"/>
  <c r="S104" i="4" s="1"/>
  <c r="T105" i="4" s="1"/>
  <c r="R102" i="4"/>
  <c r="R101" i="4"/>
  <c r="S102" i="4" s="1"/>
  <c r="R100" i="4"/>
  <c r="R99" i="4"/>
  <c r="S100" i="4" s="1"/>
  <c r="T101" i="4" s="1"/>
  <c r="R98" i="4"/>
  <c r="R97" i="4"/>
  <c r="R96" i="4"/>
  <c r="R95" i="4"/>
  <c r="S96" i="4" s="1"/>
  <c r="T97" i="4" s="1"/>
  <c r="R94" i="4"/>
  <c r="R93" i="4"/>
  <c r="S94" i="4" s="1"/>
  <c r="R92" i="4"/>
  <c r="R91" i="4"/>
  <c r="R90" i="4"/>
  <c r="R89" i="4"/>
  <c r="R88" i="4"/>
  <c r="R87" i="4"/>
  <c r="S88" i="4" s="1"/>
  <c r="T89" i="4" s="1"/>
  <c r="R86" i="4"/>
  <c r="R85" i="4"/>
  <c r="S86" i="4" s="1"/>
  <c r="R84" i="4"/>
  <c r="R83" i="4"/>
  <c r="S84" i="4" s="1"/>
  <c r="T85" i="4" s="1"/>
  <c r="R82" i="4"/>
  <c r="R81" i="4"/>
  <c r="R80" i="4"/>
  <c r="R79" i="4"/>
  <c r="S80" i="4" s="1"/>
  <c r="T81" i="4" s="1"/>
  <c r="R78" i="4"/>
  <c r="R77" i="4"/>
  <c r="S78" i="4" s="1"/>
  <c r="R76" i="4"/>
  <c r="R75" i="4"/>
  <c r="R74" i="4"/>
  <c r="R73" i="4"/>
  <c r="R72" i="4"/>
  <c r="R71" i="4"/>
  <c r="S72" i="4" s="1"/>
  <c r="T73" i="4" s="1"/>
  <c r="R70" i="4"/>
  <c r="R69" i="4"/>
  <c r="S70" i="4" s="1"/>
  <c r="R68" i="4"/>
  <c r="R67" i="4"/>
  <c r="S68" i="4" s="1"/>
  <c r="T69" i="4" s="1"/>
  <c r="R66" i="4"/>
  <c r="R65" i="4"/>
  <c r="R64" i="4"/>
  <c r="U64" i="4" s="1"/>
  <c r="R63" i="4"/>
  <c r="S64" i="4" s="1"/>
  <c r="T65" i="4" s="1"/>
  <c r="R62" i="4"/>
  <c r="R61" i="4"/>
  <c r="S62" i="4" s="1"/>
  <c r="R60" i="4"/>
  <c r="R59" i="4"/>
  <c r="R58" i="4"/>
  <c r="R57" i="4"/>
  <c r="R56" i="4"/>
  <c r="R55" i="4"/>
  <c r="S56" i="4" s="1"/>
  <c r="T57" i="4" s="1"/>
  <c r="R54" i="4"/>
  <c r="U54" i="4" s="1"/>
  <c r="R53" i="4"/>
  <c r="S54" i="4" s="1"/>
  <c r="T55" i="4" s="1"/>
  <c r="R52" i="4"/>
  <c r="R51" i="4"/>
  <c r="S52" i="4" s="1"/>
  <c r="T53" i="4" s="1"/>
  <c r="R50" i="4"/>
  <c r="R49" i="4"/>
  <c r="R48" i="4"/>
  <c r="R47" i="4"/>
  <c r="S48" i="4" s="1"/>
  <c r="T49" i="4" s="1"/>
  <c r="R46" i="4"/>
  <c r="R45" i="4"/>
  <c r="S46" i="4" s="1"/>
  <c r="R44" i="4"/>
  <c r="R43" i="4"/>
  <c r="R42" i="4"/>
  <c r="R41" i="4"/>
  <c r="R40" i="4"/>
  <c r="R39" i="4"/>
  <c r="S40" i="4" s="1"/>
  <c r="T41" i="4" s="1"/>
  <c r="R38" i="4"/>
  <c r="U38" i="4" s="1"/>
  <c r="R37" i="4"/>
  <c r="S38" i="4" s="1"/>
  <c r="T39" i="4" s="1"/>
  <c r="R36" i="4"/>
  <c r="U36" i="4" s="1"/>
  <c r="R35" i="4"/>
  <c r="S36" i="4" s="1"/>
  <c r="T37" i="4" s="1"/>
  <c r="R34" i="4"/>
  <c r="R33" i="4"/>
  <c r="R32" i="4"/>
  <c r="R31" i="4"/>
  <c r="U31" i="4" s="1"/>
  <c r="R30" i="4"/>
  <c r="U30" i="4" s="1"/>
  <c r="R29" i="4"/>
  <c r="S30" i="4" s="1"/>
  <c r="T31" i="4" s="1"/>
  <c r="R28" i="4"/>
  <c r="R27" i="4"/>
  <c r="R26" i="4"/>
  <c r="R25" i="4"/>
  <c r="R24" i="4"/>
  <c r="R23" i="4"/>
  <c r="S24" i="4" s="1"/>
  <c r="T25" i="4" s="1"/>
  <c r="R22" i="4"/>
  <c r="R21" i="4"/>
  <c r="S22" i="4" s="1"/>
  <c r="T23" i="4" s="1"/>
  <c r="R20" i="4"/>
  <c r="U20" i="4" s="1"/>
  <c r="R19" i="4"/>
  <c r="S20" i="4" s="1"/>
  <c r="T21" i="4" s="1"/>
  <c r="R18" i="4"/>
  <c r="R17" i="4"/>
  <c r="R16" i="4"/>
  <c r="U16" i="4" s="1"/>
  <c r="R15" i="4"/>
  <c r="U15" i="4" s="1"/>
  <c r="R14" i="4"/>
  <c r="R13" i="4"/>
  <c r="S14" i="4" s="1"/>
  <c r="R12" i="4"/>
  <c r="R11" i="4"/>
  <c r="S12" i="4" s="1"/>
  <c r="T13" i="4" s="1"/>
  <c r="R10" i="4"/>
  <c r="R9" i="4"/>
  <c r="R8" i="4"/>
  <c r="R7" i="4"/>
  <c r="R6" i="4"/>
  <c r="R5" i="4"/>
  <c r="S6" i="4" s="1"/>
  <c r="R4" i="4"/>
  <c r="R3" i="4"/>
  <c r="S4" i="4" s="1"/>
  <c r="R2" i="4"/>
  <c r="S3" i="4" s="1"/>
  <c r="T4" i="4" s="1"/>
  <c r="F120" i="4"/>
  <c r="F100" i="3"/>
  <c r="F122" i="4"/>
  <c r="F121" i="4"/>
  <c r="U2" i="3"/>
  <c r="S114" i="4"/>
  <c r="T115" i="4" s="1"/>
  <c r="U106" i="4"/>
  <c r="S106" i="4"/>
  <c r="T107" i="4" s="1"/>
  <c r="S90" i="4"/>
  <c r="T91" i="4" s="1"/>
  <c r="S82" i="4"/>
  <c r="T83" i="4" s="1"/>
  <c r="S74" i="4"/>
  <c r="T75" i="4" s="1"/>
  <c r="S66" i="4"/>
  <c r="T67" i="4" s="1"/>
  <c r="S58" i="4"/>
  <c r="T59" i="4" s="1"/>
  <c r="U56" i="4"/>
  <c r="U50" i="4"/>
  <c r="S50" i="4"/>
  <c r="T51" i="4" s="1"/>
  <c r="S42" i="4"/>
  <c r="T43" i="4" s="1"/>
  <c r="S34" i="4"/>
  <c r="T35" i="4" s="1"/>
  <c r="U32" i="4"/>
  <c r="U26" i="4"/>
  <c r="U25" i="4"/>
  <c r="S18" i="4"/>
  <c r="T19" i="4" s="1"/>
  <c r="S10" i="4"/>
  <c r="T11" i="4" s="1"/>
  <c r="T2" i="4"/>
  <c r="S2" i="4"/>
  <c r="T3" i="4" s="1"/>
  <c r="F102" i="3"/>
  <c r="F101" i="3"/>
  <c r="F69" i="3"/>
  <c r="F68" i="3"/>
  <c r="AC3" i="4" l="1"/>
  <c r="U39" i="4"/>
  <c r="Y81" i="4"/>
  <c r="Y49" i="4"/>
  <c r="Y73" i="4"/>
  <c r="W82" i="4"/>
  <c r="X83" i="4" s="1"/>
  <c r="Y83" i="4" s="1"/>
  <c r="Y57" i="4"/>
  <c r="Y79" i="4"/>
  <c r="X92" i="4"/>
  <c r="Y92" i="4" s="1"/>
  <c r="Y91" i="4"/>
  <c r="X84" i="4"/>
  <c r="Y84" i="4" s="1"/>
  <c r="X52" i="4"/>
  <c r="Y51" i="4"/>
  <c r="Y77" i="4"/>
  <c r="Y39" i="4"/>
  <c r="Y33" i="4"/>
  <c r="Y47" i="4"/>
  <c r="Y85" i="4"/>
  <c r="Y53" i="4"/>
  <c r="Y9" i="4"/>
  <c r="X10" i="4"/>
  <c r="Y35" i="4"/>
  <c r="X36" i="4"/>
  <c r="Y36" i="4" s="1"/>
  <c r="Y5" i="4"/>
  <c r="X6" i="4"/>
  <c r="Y21" i="4"/>
  <c r="X22" i="4"/>
  <c r="Y22" i="4" s="1"/>
  <c r="Y41" i="4"/>
  <c r="X42" i="4"/>
  <c r="Y59" i="4"/>
  <c r="X60" i="4"/>
  <c r="Y63" i="4"/>
  <c r="Y87" i="4"/>
  <c r="X88" i="4"/>
  <c r="Y88" i="4" s="1"/>
  <c r="Y97" i="4"/>
  <c r="X98" i="4"/>
  <c r="Y113" i="4"/>
  <c r="X114" i="4"/>
  <c r="Y114" i="4" s="1"/>
  <c r="Y69" i="4"/>
  <c r="X70" i="4"/>
  <c r="Y70" i="4" s="1"/>
  <c r="Y11" i="4"/>
  <c r="X12" i="4"/>
  <c r="Y12" i="4" s="1"/>
  <c r="Y27" i="4"/>
  <c r="X28" i="4"/>
  <c r="Y28" i="4" s="1"/>
  <c r="Y37" i="4"/>
  <c r="X38" i="4"/>
  <c r="Y38" i="4" s="1"/>
  <c r="Y65" i="4"/>
  <c r="X66" i="4"/>
  <c r="Y75" i="4"/>
  <c r="X76" i="4"/>
  <c r="Y76" i="4" s="1"/>
  <c r="Y103" i="4"/>
  <c r="X104" i="4"/>
  <c r="Y101" i="4"/>
  <c r="X102" i="4"/>
  <c r="Y102" i="4" s="1"/>
  <c r="Y55" i="4"/>
  <c r="X56" i="4"/>
  <c r="Y56" i="4" s="1"/>
  <c r="Y17" i="4"/>
  <c r="X18" i="4"/>
  <c r="Y18" i="4" s="1"/>
  <c r="Y71" i="4"/>
  <c r="X72" i="4"/>
  <c r="Y93" i="4"/>
  <c r="X94" i="4"/>
  <c r="Y94" i="4" s="1"/>
  <c r="Y109" i="4"/>
  <c r="X110" i="4"/>
  <c r="Y110" i="4" s="1"/>
  <c r="Y45" i="4"/>
  <c r="X46" i="4"/>
  <c r="Y46" i="4" s="1"/>
  <c r="Y107" i="4"/>
  <c r="X108" i="4"/>
  <c r="Y108" i="4" s="1"/>
  <c r="Y7" i="4"/>
  <c r="X8" i="4"/>
  <c r="Y8" i="4" s="1"/>
  <c r="Y23" i="4"/>
  <c r="X24" i="4"/>
  <c r="Y24" i="4" s="1"/>
  <c r="Y43" i="4"/>
  <c r="X44" i="4"/>
  <c r="Y44" i="4" s="1"/>
  <c r="Y61" i="4"/>
  <c r="X62" i="4"/>
  <c r="Y89" i="4"/>
  <c r="X90" i="4"/>
  <c r="Y90" i="4" s="1"/>
  <c r="Y99" i="4"/>
  <c r="X100" i="4"/>
  <c r="Y100" i="4" s="1"/>
  <c r="Y31" i="4"/>
  <c r="X32" i="4"/>
  <c r="Y32" i="4" s="1"/>
  <c r="Y29" i="4"/>
  <c r="X30" i="4"/>
  <c r="Y30" i="4" s="1"/>
  <c r="Y67" i="4"/>
  <c r="X68" i="4"/>
  <c r="Y68" i="4" s="1"/>
  <c r="Y105" i="4"/>
  <c r="X106" i="4"/>
  <c r="Y106" i="4" s="1"/>
  <c r="Y25" i="4"/>
  <c r="X26" i="4"/>
  <c r="Y26" i="4" s="1"/>
  <c r="Y15" i="4"/>
  <c r="X16" i="4"/>
  <c r="Y16" i="4" s="1"/>
  <c r="Y3" i="4"/>
  <c r="X4" i="4"/>
  <c r="Y4" i="4" s="1"/>
  <c r="Y13" i="4"/>
  <c r="X14" i="4"/>
  <c r="Y14" i="4" s="1"/>
  <c r="Y19" i="4"/>
  <c r="X20" i="4"/>
  <c r="Y20" i="4" s="1"/>
  <c r="Y95" i="4"/>
  <c r="X96" i="4"/>
  <c r="Y111" i="4"/>
  <c r="X112" i="4"/>
  <c r="Y112" i="4" s="1"/>
  <c r="Y115" i="4"/>
  <c r="Y2" i="4"/>
  <c r="Y6" i="4"/>
  <c r="Y10" i="4"/>
  <c r="Y34" i="4"/>
  <c r="Y40" i="4"/>
  <c r="Y42" i="4"/>
  <c r="Y48" i="4"/>
  <c r="Y50" i="4"/>
  <c r="Y52" i="4"/>
  <c r="Y54" i="4"/>
  <c r="Y58" i="4"/>
  <c r="Y60" i="4"/>
  <c r="Y62" i="4"/>
  <c r="Y64" i="4"/>
  <c r="Y66" i="4"/>
  <c r="Y72" i="4"/>
  <c r="Y74" i="4"/>
  <c r="Y78" i="4"/>
  <c r="Y80" i="4"/>
  <c r="Y86" i="4"/>
  <c r="Y96" i="4"/>
  <c r="Y98" i="4"/>
  <c r="Y104" i="4"/>
  <c r="H120" i="4"/>
  <c r="S26" i="4"/>
  <c r="T27" i="4" s="1"/>
  <c r="S98" i="4"/>
  <c r="T99" i="4" s="1"/>
  <c r="U2" i="4"/>
  <c r="S32" i="4"/>
  <c r="T33" i="4" s="1"/>
  <c r="U40" i="4"/>
  <c r="U4" i="4"/>
  <c r="T7" i="4"/>
  <c r="T71" i="4"/>
  <c r="T103" i="4"/>
  <c r="U102" i="4"/>
  <c r="T111" i="4"/>
  <c r="T15" i="4"/>
  <c r="T47" i="4"/>
  <c r="T79" i="4"/>
  <c r="T87" i="4"/>
  <c r="T63" i="4"/>
  <c r="T95" i="4"/>
  <c r="U101" i="4"/>
  <c r="S16" i="4"/>
  <c r="T17" i="4" s="1"/>
  <c r="S28" i="4"/>
  <c r="T29" i="4" s="1"/>
  <c r="S44" i="4"/>
  <c r="T45" i="4" s="1"/>
  <c r="S60" i="4"/>
  <c r="T61" i="4" s="1"/>
  <c r="S76" i="4"/>
  <c r="T77" i="4" s="1"/>
  <c r="S92" i="4"/>
  <c r="T93" i="4" s="1"/>
  <c r="S108" i="4"/>
  <c r="T109" i="4" s="1"/>
  <c r="U35" i="4"/>
  <c r="U3" i="4"/>
  <c r="S8" i="4"/>
  <c r="T9" i="4" s="1"/>
  <c r="T5" i="4"/>
  <c r="S5" i="4"/>
  <c r="T6" i="4" s="1"/>
  <c r="U6" i="4" s="1"/>
  <c r="S7" i="4"/>
  <c r="T8" i="4" s="1"/>
  <c r="S9" i="4"/>
  <c r="T10" i="4" s="1"/>
  <c r="U10" i="4" s="1"/>
  <c r="S11" i="4"/>
  <c r="T12" i="4" s="1"/>
  <c r="U12" i="4" s="1"/>
  <c r="S13" i="4"/>
  <c r="T14" i="4" s="1"/>
  <c r="U14" i="4" s="1"/>
  <c r="S15" i="4"/>
  <c r="T16" i="4" s="1"/>
  <c r="S17" i="4"/>
  <c r="T18" i="4" s="1"/>
  <c r="U18" i="4" s="1"/>
  <c r="S19" i="4"/>
  <c r="T20" i="4" s="1"/>
  <c r="S21" i="4"/>
  <c r="T22" i="4" s="1"/>
  <c r="U22" i="4" s="1"/>
  <c r="S23" i="4"/>
  <c r="T24" i="4" s="1"/>
  <c r="U24" i="4" s="1"/>
  <c r="S25" i="4"/>
  <c r="T26" i="4" s="1"/>
  <c r="S27" i="4"/>
  <c r="T28" i="4" s="1"/>
  <c r="S29" i="4"/>
  <c r="T30" i="4" s="1"/>
  <c r="S31" i="4"/>
  <c r="T32" i="4" s="1"/>
  <c r="S33" i="4"/>
  <c r="T34" i="4" s="1"/>
  <c r="U34" i="4" s="1"/>
  <c r="S35" i="4"/>
  <c r="T36" i="4" s="1"/>
  <c r="S37" i="4"/>
  <c r="T38" i="4" s="1"/>
  <c r="S39" i="4"/>
  <c r="T40" i="4" s="1"/>
  <c r="S41" i="4"/>
  <c r="T42" i="4" s="1"/>
  <c r="U42" i="4" s="1"/>
  <c r="S43" i="4"/>
  <c r="T44" i="4" s="1"/>
  <c r="S45" i="4"/>
  <c r="T46" i="4" s="1"/>
  <c r="U46" i="4" s="1"/>
  <c r="S47" i="4"/>
  <c r="T48" i="4" s="1"/>
  <c r="U48" i="4" s="1"/>
  <c r="S49" i="4"/>
  <c r="T50" i="4" s="1"/>
  <c r="S51" i="4"/>
  <c r="T52" i="4" s="1"/>
  <c r="U52" i="4" s="1"/>
  <c r="S53" i="4"/>
  <c r="T54" i="4" s="1"/>
  <c r="S55" i="4"/>
  <c r="T56" i="4" s="1"/>
  <c r="S57" i="4"/>
  <c r="T58" i="4" s="1"/>
  <c r="U58" i="4" s="1"/>
  <c r="S59" i="4"/>
  <c r="T60" i="4" s="1"/>
  <c r="S61" i="4"/>
  <c r="T62" i="4" s="1"/>
  <c r="U62" i="4" s="1"/>
  <c r="S63" i="4"/>
  <c r="T64" i="4" s="1"/>
  <c r="S65" i="4"/>
  <c r="T66" i="4" s="1"/>
  <c r="U66" i="4" s="1"/>
  <c r="S67" i="4"/>
  <c r="T68" i="4" s="1"/>
  <c r="U68" i="4" s="1"/>
  <c r="S69" i="4"/>
  <c r="T70" i="4" s="1"/>
  <c r="U70" i="4" s="1"/>
  <c r="S71" i="4"/>
  <c r="T72" i="4" s="1"/>
  <c r="U72" i="4" s="1"/>
  <c r="S73" i="4"/>
  <c r="T74" i="4" s="1"/>
  <c r="U74" i="4" s="1"/>
  <c r="S75" i="4"/>
  <c r="T76" i="4" s="1"/>
  <c r="S77" i="4"/>
  <c r="T78" i="4" s="1"/>
  <c r="U78" i="4" s="1"/>
  <c r="S79" i="4"/>
  <c r="T80" i="4" s="1"/>
  <c r="U80" i="4" s="1"/>
  <c r="S81" i="4"/>
  <c r="T82" i="4" s="1"/>
  <c r="U82" i="4" s="1"/>
  <c r="S83" i="4"/>
  <c r="T84" i="4" s="1"/>
  <c r="U84" i="4" s="1"/>
  <c r="S85" i="4"/>
  <c r="T86" i="4" s="1"/>
  <c r="U86" i="4" s="1"/>
  <c r="S87" i="4"/>
  <c r="T88" i="4" s="1"/>
  <c r="U88" i="4" s="1"/>
  <c r="S89" i="4"/>
  <c r="T90" i="4" s="1"/>
  <c r="U90" i="4" s="1"/>
  <c r="S91" i="4"/>
  <c r="T92" i="4" s="1"/>
  <c r="S93" i="4"/>
  <c r="T94" i="4" s="1"/>
  <c r="U94" i="4" s="1"/>
  <c r="S95" i="4"/>
  <c r="T96" i="4" s="1"/>
  <c r="U96" i="4" s="1"/>
  <c r="S97" i="4"/>
  <c r="S99" i="4"/>
  <c r="T100" i="4" s="1"/>
  <c r="U100" i="4" s="1"/>
  <c r="S101" i="4"/>
  <c r="T102" i="4" s="1"/>
  <c r="S103" i="4"/>
  <c r="T104" i="4" s="1"/>
  <c r="S105" i="4"/>
  <c r="T106" i="4" s="1"/>
  <c r="S107" i="4"/>
  <c r="T108" i="4" s="1"/>
  <c r="S109" i="4"/>
  <c r="T110" i="4" s="1"/>
  <c r="U110" i="4" s="1"/>
  <c r="S111" i="4"/>
  <c r="T112" i="4" s="1"/>
  <c r="U112" i="4" s="1"/>
  <c r="S113" i="4"/>
  <c r="T114" i="4" s="1"/>
  <c r="U114" i="4" s="1"/>
  <c r="S115" i="4"/>
  <c r="U115" i="4" s="1"/>
  <c r="Q68" i="3"/>
  <c r="P68" i="3"/>
  <c r="O68" i="3"/>
  <c r="N68" i="3"/>
  <c r="M68" i="3"/>
  <c r="L68" i="3"/>
  <c r="K68" i="3"/>
  <c r="J68" i="3"/>
  <c r="U53" i="3"/>
  <c r="U31" i="3"/>
  <c r="U14" i="3"/>
  <c r="S177" i="1"/>
  <c r="S175" i="1"/>
  <c r="S168" i="1"/>
  <c r="S167" i="1"/>
  <c r="T170" i="1" s="1"/>
  <c r="S166" i="1"/>
  <c r="S162" i="1"/>
  <c r="S157" i="1"/>
  <c r="S150" i="1"/>
  <c r="T153" i="1" s="1"/>
  <c r="S148" i="1"/>
  <c r="T151" i="1" s="1"/>
  <c r="S146" i="1"/>
  <c r="T149" i="1" s="1"/>
  <c r="S136" i="1"/>
  <c r="T139" i="1" s="1"/>
  <c r="S122" i="1"/>
  <c r="S117" i="1"/>
  <c r="S116" i="1"/>
  <c r="S115" i="1"/>
  <c r="S103" i="1"/>
  <c r="S102" i="1"/>
  <c r="S101" i="1"/>
  <c r="S97" i="1"/>
  <c r="S95" i="1"/>
  <c r="S93" i="1"/>
  <c r="T96" i="1" s="1"/>
  <c r="S91" i="1"/>
  <c r="S82" i="1"/>
  <c r="T85" i="1" s="1"/>
  <c r="S72" i="1"/>
  <c r="S71" i="1"/>
  <c r="S70" i="1"/>
  <c r="S66" i="1"/>
  <c r="S59" i="1"/>
  <c r="T62" i="1" s="1"/>
  <c r="S58" i="1"/>
  <c r="S57" i="1"/>
  <c r="S44" i="1"/>
  <c r="T47" i="1" s="1"/>
  <c r="S43" i="1"/>
  <c r="T46" i="1" s="1"/>
  <c r="S37" i="1"/>
  <c r="S32" i="1"/>
  <c r="T35" i="1" s="1"/>
  <c r="S31" i="1"/>
  <c r="S24" i="1"/>
  <c r="S18" i="1"/>
  <c r="S17" i="1"/>
  <c r="T20" i="1" s="1"/>
  <c r="S8" i="1"/>
  <c r="T11" i="1" s="1"/>
  <c r="S6" i="1"/>
  <c r="S2" i="1"/>
  <c r="S3" i="1"/>
  <c r="T6" i="1" s="1"/>
  <c r="S4" i="1"/>
  <c r="S5" i="1"/>
  <c r="T8" i="1" s="1"/>
  <c r="S7" i="1"/>
  <c r="S9" i="1"/>
  <c r="S10" i="1"/>
  <c r="S12" i="1"/>
  <c r="S13" i="1"/>
  <c r="S14" i="1"/>
  <c r="T17" i="1" s="1"/>
  <c r="S15" i="1"/>
  <c r="T18" i="1" s="1"/>
  <c r="S16" i="1"/>
  <c r="S19" i="1"/>
  <c r="S21" i="1"/>
  <c r="T24" i="1" s="1"/>
  <c r="S22" i="1"/>
  <c r="S23" i="1"/>
  <c r="S25" i="1"/>
  <c r="S26" i="1"/>
  <c r="S27" i="1"/>
  <c r="S28" i="1"/>
  <c r="T31" i="1" s="1"/>
  <c r="S29" i="1"/>
  <c r="T32" i="1" s="1"/>
  <c r="S30" i="1"/>
  <c r="S33" i="1"/>
  <c r="S34" i="1"/>
  <c r="T37" i="1" s="1"/>
  <c r="S36" i="1"/>
  <c r="S39" i="1"/>
  <c r="S40" i="1"/>
  <c r="T43" i="1" s="1"/>
  <c r="S41" i="1"/>
  <c r="T44" i="1" s="1"/>
  <c r="S42" i="1"/>
  <c r="S45" i="1"/>
  <c r="S48" i="1"/>
  <c r="S51" i="1"/>
  <c r="S52" i="1"/>
  <c r="S54" i="1"/>
  <c r="T57" i="1" s="1"/>
  <c r="S55" i="1"/>
  <c r="T58" i="1" s="1"/>
  <c r="S56" i="1"/>
  <c r="T59" i="1" s="1"/>
  <c r="S60" i="1"/>
  <c r="S61" i="1"/>
  <c r="S63" i="1"/>
  <c r="T66" i="1" s="1"/>
  <c r="S64" i="1"/>
  <c r="S67" i="1"/>
  <c r="T70" i="1" s="1"/>
  <c r="S68" i="1"/>
  <c r="T71" i="1" s="1"/>
  <c r="S69" i="1"/>
  <c r="T72" i="1" s="1"/>
  <c r="S73" i="1"/>
  <c r="S74" i="1"/>
  <c r="S75" i="1"/>
  <c r="S76" i="1"/>
  <c r="S77" i="1"/>
  <c r="S78" i="1"/>
  <c r="S79" i="1"/>
  <c r="T82" i="1" s="1"/>
  <c r="S80" i="1"/>
  <c r="S81" i="1"/>
  <c r="S83" i="1"/>
  <c r="S84" i="1"/>
  <c r="S86" i="1"/>
  <c r="S87" i="1"/>
  <c r="S88" i="1"/>
  <c r="T91" i="1" s="1"/>
  <c r="S89" i="1"/>
  <c r="S90" i="1"/>
  <c r="T93" i="1" s="1"/>
  <c r="S92" i="1"/>
  <c r="T95" i="1" s="1"/>
  <c r="S94" i="1"/>
  <c r="T97" i="1" s="1"/>
  <c r="S98" i="1"/>
  <c r="T101" i="1" s="1"/>
  <c r="S99" i="1"/>
  <c r="T102" i="1" s="1"/>
  <c r="S100" i="1"/>
  <c r="T103" i="1" s="1"/>
  <c r="S104" i="1"/>
  <c r="S105" i="1"/>
  <c r="S106" i="1"/>
  <c r="S107" i="1"/>
  <c r="S108" i="1"/>
  <c r="S109" i="1"/>
  <c r="S110" i="1"/>
  <c r="S111" i="1"/>
  <c r="S112" i="1"/>
  <c r="T115" i="1" s="1"/>
  <c r="S113" i="1"/>
  <c r="T116" i="1" s="1"/>
  <c r="S114" i="1"/>
  <c r="T117" i="1" s="1"/>
  <c r="S118" i="1"/>
  <c r="S119" i="1"/>
  <c r="T122" i="1" s="1"/>
  <c r="S120" i="1"/>
  <c r="S121" i="1"/>
  <c r="S123" i="1"/>
  <c r="S124" i="1"/>
  <c r="S125" i="1"/>
  <c r="S126" i="1"/>
  <c r="S127" i="1"/>
  <c r="S128" i="1"/>
  <c r="S129" i="1"/>
  <c r="S130" i="1"/>
  <c r="S131" i="1"/>
  <c r="S132" i="1"/>
  <c r="S133" i="1"/>
  <c r="T136" i="1" s="1"/>
  <c r="S134" i="1"/>
  <c r="S135" i="1"/>
  <c r="S137" i="1"/>
  <c r="S138" i="1"/>
  <c r="S140" i="1"/>
  <c r="S141" i="1"/>
  <c r="S142" i="1"/>
  <c r="S143" i="1"/>
  <c r="T146" i="1" s="1"/>
  <c r="S144" i="1"/>
  <c r="S145" i="1"/>
  <c r="T148" i="1" s="1"/>
  <c r="S147" i="1"/>
  <c r="T150" i="1" s="1"/>
  <c r="S154" i="1"/>
  <c r="T157" i="1" s="1"/>
  <c r="S159" i="1"/>
  <c r="T162" i="1" s="1"/>
  <c r="S160" i="1"/>
  <c r="S161" i="1"/>
  <c r="S163" i="1"/>
  <c r="T166" i="1" s="1"/>
  <c r="S164" i="1"/>
  <c r="T167" i="1" s="1"/>
  <c r="S165" i="1"/>
  <c r="T168" i="1" s="1"/>
  <c r="S169" i="1"/>
  <c r="S171" i="1"/>
  <c r="S172" i="1"/>
  <c r="T175" i="1" s="1"/>
  <c r="S174" i="1"/>
  <c r="T177" i="1" s="1"/>
  <c r="S178" i="1"/>
  <c r="S180" i="1"/>
  <c r="S181" i="1"/>
  <c r="Y82" i="4" l="1"/>
  <c r="T98" i="4"/>
  <c r="U97" i="4"/>
  <c r="U59" i="4"/>
  <c r="U109" i="4"/>
  <c r="U43" i="4"/>
  <c r="U27" i="4"/>
  <c r="U98" i="4"/>
  <c r="U75" i="4"/>
  <c r="U61" i="4"/>
  <c r="U45" i="4"/>
  <c r="U33" i="4"/>
  <c r="U55" i="4"/>
  <c r="U76" i="4"/>
  <c r="U51" i="4"/>
  <c r="U17" i="4"/>
  <c r="U67" i="4"/>
  <c r="U37" i="4"/>
  <c r="U107" i="4"/>
  <c r="U8" i="4"/>
  <c r="U60" i="4"/>
  <c r="U53" i="4"/>
  <c r="U23" i="4"/>
  <c r="U103" i="4"/>
  <c r="U73" i="4"/>
  <c r="U89" i="4"/>
  <c r="U83" i="4"/>
  <c r="U41" i="4"/>
  <c r="U44" i="4"/>
  <c r="U19" i="4"/>
  <c r="U7" i="4"/>
  <c r="U63" i="4"/>
  <c r="U99" i="4"/>
  <c r="U5" i="4"/>
  <c r="U69" i="4"/>
  <c r="U87" i="4"/>
  <c r="U28" i="4"/>
  <c r="U113" i="4"/>
  <c r="U81" i="4"/>
  <c r="U9" i="4"/>
  <c r="U13" i="4"/>
  <c r="U77" i="4"/>
  <c r="U105" i="4"/>
  <c r="U49" i="4"/>
  <c r="U71" i="4"/>
  <c r="U57" i="4"/>
  <c r="U21" i="4"/>
  <c r="U85" i="4"/>
  <c r="U92" i="4"/>
  <c r="U79" i="4"/>
  <c r="U111" i="4"/>
  <c r="U65" i="4"/>
  <c r="U108" i="4"/>
  <c r="U95" i="4"/>
  <c r="U29" i="4"/>
  <c r="U93" i="4"/>
  <c r="U47" i="4"/>
  <c r="U91" i="4"/>
  <c r="U11" i="4"/>
  <c r="S9" i="3"/>
  <c r="T10" i="3" s="1"/>
  <c r="S49" i="3"/>
  <c r="T50" i="3" s="1"/>
  <c r="S10" i="3"/>
  <c r="T11" i="3" s="1"/>
  <c r="S18" i="3"/>
  <c r="T19" i="3" s="1"/>
  <c r="S26" i="3"/>
  <c r="T27" i="3" s="1"/>
  <c r="U27" i="3" s="1"/>
  <c r="S34" i="3"/>
  <c r="T35" i="3" s="1"/>
  <c r="S42" i="3"/>
  <c r="T43" i="3" s="1"/>
  <c r="U41" i="3"/>
  <c r="S50" i="3"/>
  <c r="T51" i="3" s="1"/>
  <c r="S58" i="3"/>
  <c r="T59" i="3" s="1"/>
  <c r="S66" i="3"/>
  <c r="T67" i="3" s="1"/>
  <c r="S65" i="3"/>
  <c r="T66" i="3" s="1"/>
  <c r="S11" i="3"/>
  <c r="T12" i="3" s="1"/>
  <c r="S19" i="3"/>
  <c r="T20" i="3" s="1"/>
  <c r="S27" i="3"/>
  <c r="T28" i="3" s="1"/>
  <c r="S35" i="3"/>
  <c r="T36" i="3" s="1"/>
  <c r="S43" i="3"/>
  <c r="T44" i="3" s="1"/>
  <c r="S51" i="3"/>
  <c r="T52" i="3" s="1"/>
  <c r="S59" i="3"/>
  <c r="T60" i="3" s="1"/>
  <c r="S67" i="3"/>
  <c r="S41" i="3"/>
  <c r="T42" i="3" s="1"/>
  <c r="S4" i="3"/>
  <c r="U3" i="3"/>
  <c r="S12" i="3"/>
  <c r="T13" i="3" s="1"/>
  <c r="S20" i="3"/>
  <c r="T21" i="3" s="1"/>
  <c r="S28" i="3"/>
  <c r="T29" i="3" s="1"/>
  <c r="S36" i="3"/>
  <c r="T37" i="3" s="1"/>
  <c r="S44" i="3"/>
  <c r="T45" i="3" s="1"/>
  <c r="S52" i="3"/>
  <c r="T53" i="3" s="1"/>
  <c r="S60" i="3"/>
  <c r="T61" i="3" s="1"/>
  <c r="U59" i="3"/>
  <c r="S57" i="3"/>
  <c r="T58" i="3" s="1"/>
  <c r="S13" i="3"/>
  <c r="T14" i="3" s="1"/>
  <c r="S21" i="3"/>
  <c r="T22" i="3" s="1"/>
  <c r="S29" i="3"/>
  <c r="T30" i="3" s="1"/>
  <c r="S37" i="3"/>
  <c r="T38" i="3" s="1"/>
  <c r="S45" i="3"/>
  <c r="T46" i="3" s="1"/>
  <c r="S53" i="3"/>
  <c r="T54" i="3" s="1"/>
  <c r="S61" i="3"/>
  <c r="T62" i="3" s="1"/>
  <c r="S25" i="3"/>
  <c r="T26" i="3" s="1"/>
  <c r="S6" i="3"/>
  <c r="T7" i="3" s="1"/>
  <c r="U5" i="3"/>
  <c r="S30" i="3"/>
  <c r="T31" i="3" s="1"/>
  <c r="S38" i="3"/>
  <c r="T39" i="3" s="1"/>
  <c r="S46" i="3"/>
  <c r="T47" i="3" s="1"/>
  <c r="U45" i="3"/>
  <c r="S62" i="3"/>
  <c r="T63" i="3" s="1"/>
  <c r="U61" i="3"/>
  <c r="S17" i="3"/>
  <c r="T18" i="3" s="1"/>
  <c r="S7" i="3"/>
  <c r="T8" i="3" s="1"/>
  <c r="S47" i="3"/>
  <c r="T48" i="3" s="1"/>
  <c r="S55" i="3"/>
  <c r="T56" i="3" s="1"/>
  <c r="S33" i="3"/>
  <c r="T34" i="3" s="1"/>
  <c r="S8" i="3"/>
  <c r="T9" i="3" s="1"/>
  <c r="S24" i="3"/>
  <c r="T25" i="3" s="1"/>
  <c r="S64" i="3"/>
  <c r="T65" i="3" s="1"/>
  <c r="S5" i="3"/>
  <c r="T6" i="3" s="1"/>
  <c r="S14" i="3"/>
  <c r="T15" i="3" s="1"/>
  <c r="S23" i="3"/>
  <c r="T24" i="3" s="1"/>
  <c r="S39" i="3"/>
  <c r="T40" i="3" s="1"/>
  <c r="S16" i="3"/>
  <c r="T17" i="3" s="1"/>
  <c r="S32" i="3"/>
  <c r="T33" i="3" s="1"/>
  <c r="S40" i="3"/>
  <c r="T41" i="3" s="1"/>
  <c r="S48" i="3"/>
  <c r="T49" i="3" s="1"/>
  <c r="S56" i="3"/>
  <c r="T57" i="3" s="1"/>
  <c r="S22" i="3"/>
  <c r="T23" i="3" s="1"/>
  <c r="S54" i="3"/>
  <c r="T55" i="3" s="1"/>
  <c r="S15" i="3"/>
  <c r="T16" i="3" s="1"/>
  <c r="S31" i="3"/>
  <c r="T32" i="3" s="1"/>
  <c r="S63" i="3"/>
  <c r="T64" i="3" s="1"/>
  <c r="R6" i="1"/>
  <c r="R8" i="1"/>
  <c r="S11" i="1" s="1"/>
  <c r="R179" i="1"/>
  <c r="R177" i="1"/>
  <c r="R176" i="1"/>
  <c r="S179" i="1" s="1"/>
  <c r="R175" i="1"/>
  <c r="R173" i="1"/>
  <c r="S176" i="1" s="1"/>
  <c r="T179" i="1" s="1"/>
  <c r="R170" i="1"/>
  <c r="S173" i="1" s="1"/>
  <c r="T176" i="1" s="1"/>
  <c r="R168" i="1"/>
  <c r="R167" i="1"/>
  <c r="S170" i="1" s="1"/>
  <c r="T173" i="1" s="1"/>
  <c r="R166" i="1"/>
  <c r="R162" i="1"/>
  <c r="R158" i="1"/>
  <c r="R157" i="1"/>
  <c r="R156" i="1"/>
  <c r="R155" i="1"/>
  <c r="S158" i="1" s="1"/>
  <c r="R153" i="1"/>
  <c r="S156" i="1" s="1"/>
  <c r="R152" i="1"/>
  <c r="S155" i="1" s="1"/>
  <c r="T158" i="1" s="1"/>
  <c r="R151" i="1"/>
  <c r="R150" i="1"/>
  <c r="S153" i="1" s="1"/>
  <c r="T156" i="1" s="1"/>
  <c r="R149" i="1"/>
  <c r="S152" i="1" s="1"/>
  <c r="T155" i="1" s="1"/>
  <c r="R148" i="1"/>
  <c r="S151" i="1" s="1"/>
  <c r="R146" i="1"/>
  <c r="S149" i="1" s="1"/>
  <c r="T152" i="1" s="1"/>
  <c r="R139" i="1"/>
  <c r="R136" i="1"/>
  <c r="S139" i="1" s="1"/>
  <c r="R122" i="1"/>
  <c r="R117" i="1"/>
  <c r="R116" i="1"/>
  <c r="R115" i="1"/>
  <c r="R103" i="1"/>
  <c r="R102" i="1"/>
  <c r="R101" i="1"/>
  <c r="R97" i="1"/>
  <c r="R96" i="1"/>
  <c r="R95" i="1"/>
  <c r="R93" i="1"/>
  <c r="S96" i="1" s="1"/>
  <c r="R91" i="1"/>
  <c r="R85" i="1"/>
  <c r="R82" i="1"/>
  <c r="S85" i="1" s="1"/>
  <c r="R72" i="1"/>
  <c r="R71" i="1"/>
  <c r="R70" i="1"/>
  <c r="R66" i="1"/>
  <c r="R65" i="1"/>
  <c r="R62" i="1"/>
  <c r="S65" i="1" s="1"/>
  <c r="R59" i="1"/>
  <c r="S62" i="1" s="1"/>
  <c r="T65" i="1" s="1"/>
  <c r="R58" i="1"/>
  <c r="R57" i="1"/>
  <c r="R53" i="1"/>
  <c r="R50" i="1"/>
  <c r="S53" i="1" s="1"/>
  <c r="R49" i="1"/>
  <c r="R47" i="1"/>
  <c r="S50" i="1" s="1"/>
  <c r="T53" i="1" s="1"/>
  <c r="R46" i="1"/>
  <c r="S49" i="1" s="1"/>
  <c r="R44" i="1"/>
  <c r="S47" i="1" s="1"/>
  <c r="T50" i="1" s="1"/>
  <c r="R43" i="1"/>
  <c r="S46" i="1" s="1"/>
  <c r="T49" i="1" s="1"/>
  <c r="R38" i="1"/>
  <c r="R37" i="1"/>
  <c r="R35" i="1"/>
  <c r="S38" i="1" s="1"/>
  <c r="R32" i="1"/>
  <c r="S35" i="1" s="1"/>
  <c r="T38" i="1" s="1"/>
  <c r="R31" i="1"/>
  <c r="R24" i="1"/>
  <c r="R20" i="1"/>
  <c r="R18" i="1"/>
  <c r="R17" i="1"/>
  <c r="S20" i="1" s="1"/>
  <c r="R11" i="1"/>
  <c r="I104" i="1"/>
  <c r="I105" i="1"/>
  <c r="O182" i="1"/>
  <c r="B2" i="2" s="1"/>
  <c r="G62" i="2"/>
  <c r="E62" i="2"/>
  <c r="G65" i="2"/>
  <c r="E65" i="2"/>
  <c r="C65" i="2"/>
  <c r="G64" i="2"/>
  <c r="E64" i="2"/>
  <c r="C64" i="2"/>
  <c r="G63" i="2"/>
  <c r="E63" i="2"/>
  <c r="C63" i="2"/>
  <c r="D2" i="2"/>
  <c r="G55" i="2" s="1"/>
  <c r="D9" i="2"/>
  <c r="J182" i="1"/>
  <c r="C54" i="2" s="1"/>
  <c r="G53" i="2"/>
  <c r="G51" i="2"/>
  <c r="L182" i="1"/>
  <c r="C51" i="2" s="1"/>
  <c r="Q182" i="1"/>
  <c r="P182" i="1"/>
  <c r="D32" i="1"/>
  <c r="E32" i="1" s="1"/>
  <c r="I32" i="1"/>
  <c r="D33" i="1"/>
  <c r="E33" i="1" s="1"/>
  <c r="I33" i="1"/>
  <c r="D34" i="1"/>
  <c r="E34" i="1" s="1"/>
  <c r="I34" i="1"/>
  <c r="D35" i="1"/>
  <c r="E35" i="1" s="1"/>
  <c r="I35" i="1"/>
  <c r="D36" i="1"/>
  <c r="E36" i="1" s="1"/>
  <c r="I36" i="1"/>
  <c r="D37" i="1"/>
  <c r="E37" i="1" s="1"/>
  <c r="I37" i="1"/>
  <c r="D38" i="1"/>
  <c r="E38" i="1" s="1"/>
  <c r="I38" i="1"/>
  <c r="D39" i="1"/>
  <c r="E39" i="1" s="1"/>
  <c r="I39" i="1"/>
  <c r="D40" i="1"/>
  <c r="E40" i="1" s="1"/>
  <c r="I40" i="1"/>
  <c r="D41" i="1"/>
  <c r="E41" i="1" s="1"/>
  <c r="I41" i="1"/>
  <c r="D42" i="1"/>
  <c r="E42" i="1" s="1"/>
  <c r="I42" i="1"/>
  <c r="D43" i="1"/>
  <c r="E43" i="1" s="1"/>
  <c r="I43" i="1"/>
  <c r="D44" i="1"/>
  <c r="E44" i="1" s="1"/>
  <c r="I44" i="1"/>
  <c r="D45" i="1"/>
  <c r="E45" i="1" s="1"/>
  <c r="I45" i="1"/>
  <c r="D46" i="1"/>
  <c r="E46" i="1" s="1"/>
  <c r="I46" i="1"/>
  <c r="D47" i="1"/>
  <c r="E47" i="1" s="1"/>
  <c r="I47" i="1"/>
  <c r="D48" i="1"/>
  <c r="E48" i="1" s="1"/>
  <c r="I48" i="1"/>
  <c r="D49" i="1"/>
  <c r="E49" i="1" s="1"/>
  <c r="I49" i="1"/>
  <c r="D50" i="1"/>
  <c r="E50" i="1" s="1"/>
  <c r="I50" i="1"/>
  <c r="D51" i="1"/>
  <c r="E51" i="1" s="1"/>
  <c r="I51" i="1"/>
  <c r="D52" i="1"/>
  <c r="E52" i="1" s="1"/>
  <c r="I52" i="1"/>
  <c r="D53" i="1"/>
  <c r="E53" i="1" s="1"/>
  <c r="I53" i="1"/>
  <c r="D54" i="1"/>
  <c r="E54" i="1" s="1"/>
  <c r="I54" i="1"/>
  <c r="D55" i="1"/>
  <c r="E55" i="1" s="1"/>
  <c r="I55" i="1"/>
  <c r="D56" i="1"/>
  <c r="E56" i="1" s="1"/>
  <c r="I56" i="1"/>
  <c r="D57" i="1"/>
  <c r="E57" i="1" s="1"/>
  <c r="I57" i="1"/>
  <c r="D58" i="1"/>
  <c r="E58" i="1" s="1"/>
  <c r="I58" i="1"/>
  <c r="D59" i="1"/>
  <c r="E59" i="1" s="1"/>
  <c r="I59" i="1"/>
  <c r="D60" i="1"/>
  <c r="E60" i="1" s="1"/>
  <c r="I60" i="1"/>
  <c r="D61" i="1"/>
  <c r="E61" i="1" s="1"/>
  <c r="I61" i="1"/>
  <c r="D62" i="1"/>
  <c r="E62" i="1" s="1"/>
  <c r="I62" i="1"/>
  <c r="D63" i="1"/>
  <c r="E63" i="1" s="1"/>
  <c r="I63" i="1"/>
  <c r="D64" i="1"/>
  <c r="E64" i="1" s="1"/>
  <c r="I64" i="1"/>
  <c r="D65" i="1"/>
  <c r="E65" i="1" s="1"/>
  <c r="I65" i="1"/>
  <c r="D66" i="1"/>
  <c r="E66" i="1" s="1"/>
  <c r="I66" i="1"/>
  <c r="D67" i="1"/>
  <c r="E67" i="1" s="1"/>
  <c r="I67" i="1"/>
  <c r="D68" i="1"/>
  <c r="E68" i="1" s="1"/>
  <c r="I68" i="1"/>
  <c r="D69" i="1"/>
  <c r="E69" i="1" s="1"/>
  <c r="I69" i="1"/>
  <c r="D70" i="1"/>
  <c r="E70" i="1" s="1"/>
  <c r="I70" i="1"/>
  <c r="D71" i="1"/>
  <c r="E71" i="1" s="1"/>
  <c r="I71" i="1"/>
  <c r="D72" i="1"/>
  <c r="E72" i="1" s="1"/>
  <c r="I72" i="1"/>
  <c r="D73" i="1"/>
  <c r="E73" i="1" s="1"/>
  <c r="I73" i="1"/>
  <c r="D74" i="1"/>
  <c r="E74" i="1" s="1"/>
  <c r="I74" i="1"/>
  <c r="D75" i="1"/>
  <c r="E75" i="1" s="1"/>
  <c r="I75" i="1"/>
  <c r="D76" i="1"/>
  <c r="E76" i="1" s="1"/>
  <c r="I76" i="1"/>
  <c r="D77" i="1"/>
  <c r="E77" i="1" s="1"/>
  <c r="I77" i="1"/>
  <c r="D78" i="1"/>
  <c r="E78" i="1" s="1"/>
  <c r="I78" i="1"/>
  <c r="D79" i="1"/>
  <c r="E79" i="1" s="1"/>
  <c r="I79" i="1"/>
  <c r="D100" i="1"/>
  <c r="E100" i="1" s="1"/>
  <c r="I100" i="1"/>
  <c r="D101" i="1"/>
  <c r="E101" i="1" s="1"/>
  <c r="I101" i="1"/>
  <c r="D102" i="1"/>
  <c r="E102" i="1" s="1"/>
  <c r="I102" i="1"/>
  <c r="D103" i="1"/>
  <c r="E103" i="1" s="1"/>
  <c r="I103" i="1"/>
  <c r="D104" i="1"/>
  <c r="E104" i="1" s="1"/>
  <c r="D105" i="1"/>
  <c r="E105" i="1" s="1"/>
  <c r="D106" i="1"/>
  <c r="E106" i="1" s="1"/>
  <c r="I106" i="1"/>
  <c r="D107" i="1"/>
  <c r="E107" i="1" s="1"/>
  <c r="I107" i="1"/>
  <c r="D108" i="1"/>
  <c r="E108" i="1" s="1"/>
  <c r="I108" i="1"/>
  <c r="D109" i="1"/>
  <c r="E109" i="1" s="1"/>
  <c r="I109" i="1"/>
  <c r="D110" i="1"/>
  <c r="E110" i="1" s="1"/>
  <c r="I110" i="1"/>
  <c r="D111" i="1"/>
  <c r="E111" i="1" s="1"/>
  <c r="I111" i="1"/>
  <c r="D112" i="1"/>
  <c r="E112" i="1" s="1"/>
  <c r="I112" i="1"/>
  <c r="D113" i="1"/>
  <c r="E113" i="1" s="1"/>
  <c r="I113" i="1"/>
  <c r="D114" i="1"/>
  <c r="E114" i="1" s="1"/>
  <c r="I114" i="1"/>
  <c r="D115" i="1"/>
  <c r="E115" i="1" s="1"/>
  <c r="I115" i="1"/>
  <c r="D116" i="1"/>
  <c r="E116" i="1" s="1"/>
  <c r="I116" i="1"/>
  <c r="D117" i="1"/>
  <c r="E117" i="1" s="1"/>
  <c r="I117" i="1"/>
  <c r="D118" i="1"/>
  <c r="E118" i="1" s="1"/>
  <c r="I118" i="1"/>
  <c r="D119" i="1"/>
  <c r="E119" i="1" s="1"/>
  <c r="I119" i="1"/>
  <c r="D120" i="1"/>
  <c r="E120" i="1" s="1"/>
  <c r="I120" i="1"/>
  <c r="D121" i="1"/>
  <c r="E121" i="1" s="1"/>
  <c r="I121" i="1"/>
  <c r="D122" i="1"/>
  <c r="E122" i="1" s="1"/>
  <c r="I122" i="1"/>
  <c r="D123" i="1"/>
  <c r="E123" i="1" s="1"/>
  <c r="I123" i="1"/>
  <c r="D124" i="1"/>
  <c r="E124" i="1" s="1"/>
  <c r="I124" i="1"/>
  <c r="D125" i="1"/>
  <c r="E125" i="1" s="1"/>
  <c r="I125" i="1"/>
  <c r="D126" i="1"/>
  <c r="E126" i="1" s="1"/>
  <c r="I126" i="1"/>
  <c r="D127" i="1"/>
  <c r="E127" i="1" s="1"/>
  <c r="I127" i="1"/>
  <c r="D128" i="1"/>
  <c r="E128" i="1" s="1"/>
  <c r="I128" i="1"/>
  <c r="D129" i="1"/>
  <c r="E129" i="1" s="1"/>
  <c r="I129" i="1"/>
  <c r="D130" i="1"/>
  <c r="E130" i="1" s="1"/>
  <c r="I130" i="1"/>
  <c r="D131" i="1"/>
  <c r="E131" i="1" s="1"/>
  <c r="I131" i="1"/>
  <c r="D132" i="1"/>
  <c r="E132" i="1" s="1"/>
  <c r="I132" i="1"/>
  <c r="D133" i="1"/>
  <c r="E133" i="1" s="1"/>
  <c r="I133" i="1"/>
  <c r="D134" i="1"/>
  <c r="E134" i="1" s="1"/>
  <c r="I134" i="1"/>
  <c r="D135" i="1"/>
  <c r="E135" i="1" s="1"/>
  <c r="I135" i="1"/>
  <c r="D136" i="1"/>
  <c r="E136" i="1" s="1"/>
  <c r="I136" i="1"/>
  <c r="D137" i="1"/>
  <c r="E137" i="1" s="1"/>
  <c r="I137" i="1"/>
  <c r="D138" i="1"/>
  <c r="E138" i="1" s="1"/>
  <c r="I138" i="1"/>
  <c r="D139" i="1"/>
  <c r="E139" i="1" s="1"/>
  <c r="I139" i="1"/>
  <c r="D140" i="1"/>
  <c r="E140" i="1" s="1"/>
  <c r="I140" i="1"/>
  <c r="D141" i="1"/>
  <c r="E141" i="1" s="1"/>
  <c r="I141" i="1"/>
  <c r="D142" i="1"/>
  <c r="E142" i="1" s="1"/>
  <c r="I142" i="1"/>
  <c r="D143" i="1"/>
  <c r="E143" i="1" s="1"/>
  <c r="I143" i="1"/>
  <c r="D144" i="1"/>
  <c r="E144" i="1" s="1"/>
  <c r="I144" i="1"/>
  <c r="D145" i="1"/>
  <c r="E145" i="1" s="1"/>
  <c r="I145" i="1"/>
  <c r="D146" i="1"/>
  <c r="E146" i="1" s="1"/>
  <c r="I146" i="1"/>
  <c r="D147" i="1"/>
  <c r="E147" i="1" s="1"/>
  <c r="I147" i="1"/>
  <c r="D148" i="1"/>
  <c r="E148" i="1" s="1"/>
  <c r="I148" i="1"/>
  <c r="D149" i="1"/>
  <c r="E149" i="1" s="1"/>
  <c r="I149" i="1"/>
  <c r="D150" i="1"/>
  <c r="E150" i="1" s="1"/>
  <c r="I150" i="1"/>
  <c r="D151" i="1"/>
  <c r="E151" i="1" s="1"/>
  <c r="I151" i="1"/>
  <c r="D152" i="1"/>
  <c r="E152" i="1" s="1"/>
  <c r="I152" i="1"/>
  <c r="D153" i="1"/>
  <c r="E153" i="1" s="1"/>
  <c r="I153" i="1"/>
  <c r="D154" i="1"/>
  <c r="E154" i="1" s="1"/>
  <c r="I154" i="1"/>
  <c r="D155" i="1"/>
  <c r="E155" i="1" s="1"/>
  <c r="I155" i="1"/>
  <c r="D156" i="1"/>
  <c r="E156" i="1" s="1"/>
  <c r="I156" i="1"/>
  <c r="D157" i="1"/>
  <c r="E157" i="1" s="1"/>
  <c r="I157" i="1"/>
  <c r="D158" i="1"/>
  <c r="E158" i="1" s="1"/>
  <c r="I158" i="1"/>
  <c r="D159" i="1"/>
  <c r="E159" i="1" s="1"/>
  <c r="I159" i="1"/>
  <c r="D160" i="1"/>
  <c r="E160" i="1" s="1"/>
  <c r="I160" i="1"/>
  <c r="D161" i="1"/>
  <c r="E161" i="1" s="1"/>
  <c r="I161" i="1"/>
  <c r="D162" i="1"/>
  <c r="E162" i="1" s="1"/>
  <c r="I162" i="1"/>
  <c r="D163" i="1"/>
  <c r="E163" i="1" s="1"/>
  <c r="I163" i="1"/>
  <c r="D164" i="1"/>
  <c r="E164" i="1" s="1"/>
  <c r="I164" i="1"/>
  <c r="D165" i="1"/>
  <c r="E165" i="1" s="1"/>
  <c r="I165" i="1"/>
  <c r="D166" i="1"/>
  <c r="E166" i="1" s="1"/>
  <c r="I166" i="1"/>
  <c r="D167" i="1"/>
  <c r="E167" i="1" s="1"/>
  <c r="I167" i="1"/>
  <c r="D168" i="1"/>
  <c r="E168" i="1" s="1"/>
  <c r="I168" i="1"/>
  <c r="D169" i="1"/>
  <c r="E169" i="1" s="1"/>
  <c r="I169" i="1"/>
  <c r="D170" i="1"/>
  <c r="E170" i="1" s="1"/>
  <c r="I170" i="1"/>
  <c r="D171" i="1"/>
  <c r="E171" i="1" s="1"/>
  <c r="I171" i="1"/>
  <c r="D172" i="1"/>
  <c r="E172" i="1" s="1"/>
  <c r="I172" i="1"/>
  <c r="D173" i="1"/>
  <c r="E173" i="1" s="1"/>
  <c r="I173" i="1"/>
  <c r="D174" i="1"/>
  <c r="E174" i="1" s="1"/>
  <c r="I174" i="1"/>
  <c r="D175" i="1"/>
  <c r="E175" i="1" s="1"/>
  <c r="I175" i="1"/>
  <c r="D176" i="1"/>
  <c r="E176" i="1" s="1"/>
  <c r="I176" i="1"/>
  <c r="D177" i="1"/>
  <c r="E177" i="1" s="1"/>
  <c r="I177" i="1"/>
  <c r="D178" i="1"/>
  <c r="E178" i="1" s="1"/>
  <c r="I178" i="1"/>
  <c r="D179" i="1"/>
  <c r="E179" i="1" s="1"/>
  <c r="I179" i="1"/>
  <c r="D7" i="1"/>
  <c r="E7" i="1" s="1"/>
  <c r="I7" i="1"/>
  <c r="D8" i="1"/>
  <c r="E8" i="1" s="1"/>
  <c r="I8" i="1"/>
  <c r="D9" i="1"/>
  <c r="E9" i="1" s="1"/>
  <c r="I9" i="1"/>
  <c r="D10" i="1"/>
  <c r="E10" i="1" s="1"/>
  <c r="I10" i="1"/>
  <c r="D11" i="1"/>
  <c r="E11" i="1" s="1"/>
  <c r="I11" i="1"/>
  <c r="D12" i="1"/>
  <c r="E12" i="1" s="1"/>
  <c r="I12" i="1"/>
  <c r="D13" i="1"/>
  <c r="E13" i="1" s="1"/>
  <c r="I13" i="1"/>
  <c r="D14" i="1"/>
  <c r="E14" i="1" s="1"/>
  <c r="I14" i="1"/>
  <c r="D15" i="1"/>
  <c r="E15" i="1" s="1"/>
  <c r="I15" i="1"/>
  <c r="D16" i="1"/>
  <c r="E16" i="1" s="1"/>
  <c r="I16" i="1"/>
  <c r="D90" i="1"/>
  <c r="E90" i="1" s="1"/>
  <c r="I90" i="1"/>
  <c r="D91" i="1"/>
  <c r="E91" i="1" s="1"/>
  <c r="I91" i="1"/>
  <c r="D92" i="1"/>
  <c r="E92" i="1" s="1"/>
  <c r="I92" i="1"/>
  <c r="D93" i="1"/>
  <c r="E93" i="1" s="1"/>
  <c r="I93" i="1"/>
  <c r="D94" i="1"/>
  <c r="E94" i="1" s="1"/>
  <c r="I94" i="1"/>
  <c r="D95" i="1"/>
  <c r="E95" i="1" s="1"/>
  <c r="I95" i="1"/>
  <c r="D96" i="1"/>
  <c r="E96" i="1" s="1"/>
  <c r="I96" i="1"/>
  <c r="D97" i="1"/>
  <c r="E97" i="1" s="1"/>
  <c r="I97" i="1"/>
  <c r="D98" i="1"/>
  <c r="E98" i="1" s="1"/>
  <c r="I98" i="1"/>
  <c r="D99" i="1"/>
  <c r="E99" i="1" s="1"/>
  <c r="I99" i="1"/>
  <c r="D17" i="1"/>
  <c r="E17" i="1" s="1"/>
  <c r="I17" i="1"/>
  <c r="D18" i="1"/>
  <c r="E18" i="1" s="1"/>
  <c r="I18" i="1"/>
  <c r="D22" i="1"/>
  <c r="E22" i="1" s="1"/>
  <c r="I22" i="1"/>
  <c r="D23" i="1"/>
  <c r="E23" i="1" s="1"/>
  <c r="I23" i="1"/>
  <c r="D24" i="1"/>
  <c r="E24" i="1" s="1"/>
  <c r="I24" i="1"/>
  <c r="D25" i="1"/>
  <c r="E25" i="1" s="1"/>
  <c r="I25" i="1"/>
  <c r="D26" i="1"/>
  <c r="E26" i="1" s="1"/>
  <c r="I26" i="1"/>
  <c r="D27" i="1"/>
  <c r="E27" i="1" s="1"/>
  <c r="I27" i="1"/>
  <c r="D28" i="1"/>
  <c r="E28" i="1" s="1"/>
  <c r="I28" i="1"/>
  <c r="D29" i="1"/>
  <c r="E29" i="1" s="1"/>
  <c r="I29" i="1"/>
  <c r="D30" i="1"/>
  <c r="E30" i="1" s="1"/>
  <c r="I30" i="1"/>
  <c r="D31" i="1"/>
  <c r="E31" i="1" s="1"/>
  <c r="I31" i="1"/>
  <c r="D80" i="1"/>
  <c r="E80" i="1" s="1"/>
  <c r="I80" i="1"/>
  <c r="D81" i="1"/>
  <c r="E81" i="1" s="1"/>
  <c r="I81" i="1"/>
  <c r="D82" i="1"/>
  <c r="E82" i="1" s="1"/>
  <c r="I82" i="1"/>
  <c r="D83" i="1"/>
  <c r="E83" i="1" s="1"/>
  <c r="I83" i="1"/>
  <c r="D84" i="1"/>
  <c r="E84" i="1" s="1"/>
  <c r="I84" i="1"/>
  <c r="D85" i="1"/>
  <c r="E85" i="1" s="1"/>
  <c r="I85" i="1"/>
  <c r="D86" i="1"/>
  <c r="E86" i="1" s="1"/>
  <c r="I86" i="1"/>
  <c r="D87" i="1"/>
  <c r="E87" i="1" s="1"/>
  <c r="I87" i="1"/>
  <c r="D88" i="1"/>
  <c r="E88" i="1" s="1"/>
  <c r="I88" i="1"/>
  <c r="D89" i="1"/>
  <c r="E89" i="1" s="1"/>
  <c r="I89" i="1"/>
  <c r="D2" i="1"/>
  <c r="E2" i="1" s="1"/>
  <c r="I2" i="1"/>
  <c r="D3" i="1"/>
  <c r="E3" i="1" s="1"/>
  <c r="I3" i="1"/>
  <c r="D4" i="1"/>
  <c r="E4" i="1" s="1"/>
  <c r="I4" i="1"/>
  <c r="D5" i="1"/>
  <c r="E5" i="1" s="1"/>
  <c r="I5" i="1"/>
  <c r="D6" i="1"/>
  <c r="E6" i="1" s="1"/>
  <c r="I6" i="1"/>
  <c r="D19" i="1"/>
  <c r="E19" i="1" s="1"/>
  <c r="I19" i="1"/>
  <c r="D20" i="1"/>
  <c r="E20" i="1" s="1"/>
  <c r="I20" i="1"/>
  <c r="D21" i="1"/>
  <c r="E21" i="1" s="1"/>
  <c r="I21" i="1"/>
  <c r="D180" i="1"/>
  <c r="E180" i="1" s="1"/>
  <c r="I180" i="1"/>
  <c r="D181" i="1"/>
  <c r="E181" i="1" s="1"/>
  <c r="I181" i="1"/>
  <c r="D7" i="2"/>
  <c r="C4" i="2"/>
  <c r="C8" i="2" s="1"/>
  <c r="N185" i="1"/>
  <c r="C53" i="2" s="1"/>
  <c r="D6" i="2"/>
  <c r="C6" i="2"/>
  <c r="M182" i="1"/>
  <c r="B6" i="2" s="1"/>
  <c r="B4" i="2"/>
  <c r="B8" i="2" s="1"/>
  <c r="E51" i="2"/>
  <c r="C2" i="2"/>
  <c r="C3" i="2"/>
  <c r="D3" i="2"/>
  <c r="B182" i="1"/>
  <c r="D4" i="2"/>
  <c r="D8" i="2" s="1"/>
  <c r="D5" i="2"/>
  <c r="K182" i="1"/>
  <c r="X186" i="1" s="1"/>
  <c r="N182" i="1"/>
  <c r="C182" i="1"/>
  <c r="U21" i="3" l="1"/>
  <c r="U49" i="3"/>
  <c r="U46" i="3"/>
  <c r="U10" i="3"/>
  <c r="U58" i="3"/>
  <c r="U13" i="3"/>
  <c r="T5" i="3"/>
  <c r="U4" i="3"/>
  <c r="U9" i="3"/>
  <c r="U38" i="3"/>
  <c r="U40" i="3"/>
  <c r="U55" i="3"/>
  <c r="U20" i="3"/>
  <c r="U15" i="3"/>
  <c r="U44" i="3"/>
  <c r="U34" i="3"/>
  <c r="U19" i="3"/>
  <c r="U12" i="3"/>
  <c r="U63" i="3"/>
  <c r="U22" i="3"/>
  <c r="U66" i="3"/>
  <c r="U67" i="3"/>
  <c r="U26" i="3"/>
  <c r="U7" i="3"/>
  <c r="U42" i="3"/>
  <c r="U52" i="3"/>
  <c r="U51" i="3"/>
  <c r="U17" i="3"/>
  <c r="U30" i="3"/>
  <c r="U47" i="3"/>
  <c r="U65" i="3"/>
  <c r="U33" i="3"/>
  <c r="U48" i="3"/>
  <c r="U43" i="3"/>
  <c r="U39" i="3"/>
  <c r="U62" i="3"/>
  <c r="U6" i="3"/>
  <c r="U37" i="3"/>
  <c r="U24" i="3"/>
  <c r="U36" i="3"/>
  <c r="U56" i="3"/>
  <c r="U64" i="3"/>
  <c r="U11" i="3"/>
  <c r="U23" i="3"/>
  <c r="U54" i="3"/>
  <c r="U35" i="3"/>
  <c r="U50" i="3"/>
  <c r="U18" i="3"/>
  <c r="U57" i="3"/>
  <c r="U25" i="3"/>
  <c r="U8" i="3"/>
  <c r="U32" i="3"/>
  <c r="U16" i="3"/>
  <c r="U29" i="3"/>
  <c r="U60" i="3"/>
  <c r="U28" i="3"/>
  <c r="B9" i="2"/>
  <c r="B5" i="2"/>
  <c r="F91" i="1"/>
  <c r="F97" i="1"/>
  <c r="F102" i="1"/>
  <c r="F161" i="1"/>
  <c r="F110" i="1"/>
  <c r="F121" i="1"/>
  <c r="F68" i="1"/>
  <c r="F174" i="1"/>
  <c r="F3" i="1"/>
  <c r="F11" i="1"/>
  <c r="F7" i="1"/>
  <c r="F137" i="1"/>
  <c r="F163" i="1"/>
  <c r="F155" i="1"/>
  <c r="F116" i="1"/>
  <c r="F99" i="1"/>
  <c r="F169" i="1"/>
  <c r="F142" i="1"/>
  <c r="F43" i="1"/>
  <c r="F75" i="1"/>
  <c r="F42" i="1"/>
  <c r="F170" i="1"/>
  <c r="F113" i="1"/>
  <c r="F52" i="1"/>
  <c r="F158" i="1"/>
  <c r="F77" i="1"/>
  <c r="F82" i="1"/>
  <c r="F31" i="1"/>
  <c r="F28" i="1"/>
  <c r="F12" i="1"/>
  <c r="F9" i="1"/>
  <c r="F130" i="1"/>
  <c r="F124" i="1"/>
  <c r="F100" i="1"/>
  <c r="F50" i="1"/>
  <c r="F46" i="1"/>
  <c r="F39" i="1"/>
  <c r="F16" i="1"/>
  <c r="F167" i="1"/>
  <c r="F164" i="1"/>
  <c r="F140" i="1"/>
  <c r="F103" i="1"/>
  <c r="F76" i="1"/>
  <c r="F73" i="1"/>
  <c r="F85" i="1"/>
  <c r="F18" i="1"/>
  <c r="F94" i="1"/>
  <c r="F15" i="1"/>
  <c r="F133" i="1"/>
  <c r="F79" i="1"/>
  <c r="F69" i="1"/>
  <c r="F49" i="1"/>
  <c r="F23" i="1"/>
  <c r="F173" i="1"/>
  <c r="F106" i="1"/>
  <c r="F29" i="1"/>
  <c r="F26" i="1"/>
  <c r="F17" i="1"/>
  <c r="F96" i="1"/>
  <c r="F93" i="1"/>
  <c r="F14" i="1"/>
  <c r="F10" i="1"/>
  <c r="F145" i="1"/>
  <c r="F61" i="1"/>
  <c r="F55" i="1"/>
  <c r="F40" i="1"/>
  <c r="F33" i="1"/>
  <c r="F21" i="1"/>
  <c r="F83" i="1"/>
  <c r="F13" i="1"/>
  <c r="F176" i="1"/>
  <c r="F148" i="1"/>
  <c r="F119" i="1"/>
  <c r="F109" i="1"/>
  <c r="F67" i="1"/>
  <c r="F64" i="1"/>
  <c r="F58" i="1"/>
  <c r="F47" i="1"/>
  <c r="F36" i="1"/>
  <c r="G50" i="2"/>
  <c r="F70" i="1"/>
  <c r="F105" i="1"/>
  <c r="F127" i="1"/>
  <c r="F20" i="1"/>
  <c r="F5" i="1"/>
  <c r="F2" i="1"/>
  <c r="F25" i="1"/>
  <c r="F175" i="1"/>
  <c r="F150" i="1"/>
  <c r="F147" i="1"/>
  <c r="F144" i="1"/>
  <c r="F141" i="1"/>
  <c r="F136" i="1"/>
  <c r="F66" i="1"/>
  <c r="F57" i="1"/>
  <c r="F54" i="1"/>
  <c r="F181" i="1"/>
  <c r="F87" i="1"/>
  <c r="F30" i="1"/>
  <c r="F24" i="1"/>
  <c r="F92" i="1"/>
  <c r="F178" i="1"/>
  <c r="F160" i="1"/>
  <c r="F157" i="1"/>
  <c r="F153" i="1"/>
  <c r="F132" i="1"/>
  <c r="F126" i="1"/>
  <c r="F123" i="1"/>
  <c r="F111" i="1"/>
  <c r="F108" i="1"/>
  <c r="F78" i="1"/>
  <c r="F72" i="1"/>
  <c r="F41" i="1"/>
  <c r="F38" i="1"/>
  <c r="F32" i="1"/>
  <c r="F51" i="1"/>
  <c r="F4" i="1"/>
  <c r="F95" i="1"/>
  <c r="F162" i="1"/>
  <c r="F143" i="1"/>
  <c r="F138" i="1"/>
  <c r="F135" i="1"/>
  <c r="F117" i="1"/>
  <c r="F44" i="1"/>
  <c r="F35" i="1"/>
  <c r="F84" i="1"/>
  <c r="F180" i="1"/>
  <c r="F19" i="1"/>
  <c r="F89" i="1"/>
  <c r="F80" i="1"/>
  <c r="F177" i="1"/>
  <c r="F171" i="1"/>
  <c r="F168" i="1"/>
  <c r="F165" i="1"/>
  <c r="F156" i="1"/>
  <c r="F152" i="1"/>
  <c r="F149" i="1"/>
  <c r="F146" i="1"/>
  <c r="F128" i="1"/>
  <c r="F125" i="1"/>
  <c r="F104" i="1"/>
  <c r="F65" i="1"/>
  <c r="F62" i="1"/>
  <c r="F59" i="1"/>
  <c r="F6" i="1"/>
  <c r="F34" i="1"/>
  <c r="F86" i="1"/>
  <c r="F166" i="1"/>
  <c r="F101" i="1"/>
  <c r="F53" i="1"/>
  <c r="F45" i="1"/>
  <c r="F154" i="1"/>
  <c r="F112" i="1"/>
  <c r="F107" i="1"/>
  <c r="F88" i="1"/>
  <c r="F179" i="1"/>
  <c r="F134" i="1"/>
  <c r="F120" i="1"/>
  <c r="F60" i="1"/>
  <c r="F27" i="1"/>
  <c r="F172" i="1"/>
  <c r="F139" i="1"/>
  <c r="F114" i="1"/>
  <c r="F81" i="1"/>
  <c r="F8" i="1"/>
  <c r="F71" i="1"/>
  <c r="E54" i="2"/>
  <c r="C9" i="2"/>
  <c r="E55" i="2"/>
  <c r="E50" i="2"/>
  <c r="F129" i="1"/>
  <c r="F118" i="1"/>
  <c r="F74" i="1"/>
  <c r="F56" i="1"/>
  <c r="F48" i="1"/>
  <c r="F37" i="1"/>
  <c r="E182" i="1"/>
  <c r="C5" i="2"/>
  <c r="F22" i="1"/>
  <c r="F98" i="1"/>
  <c r="F90" i="1"/>
  <c r="F159" i="1"/>
  <c r="F151" i="1"/>
  <c r="F131" i="1"/>
  <c r="F122" i="1"/>
  <c r="F115" i="1"/>
  <c r="F63" i="1"/>
  <c r="C50" i="2"/>
  <c r="B7" i="2"/>
  <c r="C56" i="2"/>
  <c r="C55" i="2"/>
  <c r="G54" i="2"/>
  <c r="X37" i="1" l="1"/>
  <c r="Z104" i="1"/>
  <c r="X8" i="1"/>
  <c r="X161" i="1"/>
  <c r="X159" i="1"/>
  <c r="AB114" i="1"/>
  <c r="AB95" i="1"/>
  <c r="Z6" i="1"/>
  <c r="X78" i="1"/>
  <c r="X22" i="1"/>
  <c r="AB97" i="1"/>
  <c r="X36" i="1"/>
  <c r="AB148" i="1"/>
  <c r="AB156" i="1"/>
  <c r="AB96" i="1"/>
  <c r="AB141" i="1"/>
  <c r="AB126" i="1"/>
  <c r="X45" i="1"/>
  <c r="AB153" i="1"/>
  <c r="AB133" i="1"/>
  <c r="X103" i="1"/>
  <c r="Z89" i="1"/>
  <c r="X72" i="1"/>
  <c r="X167" i="1"/>
  <c r="AB120" i="1"/>
  <c r="AB111" i="1"/>
  <c r="AB134" i="1"/>
  <c r="X99" i="1"/>
  <c r="AB106" i="1"/>
  <c r="AB142" i="1"/>
  <c r="AB158" i="1"/>
  <c r="AB143" i="1"/>
  <c r="X34" i="1"/>
  <c r="AB152" i="1"/>
  <c r="AB32" i="1"/>
  <c r="AB164" i="1"/>
  <c r="X145" i="1"/>
  <c r="AB56" i="1"/>
  <c r="AB165" i="1"/>
  <c r="X162" i="1"/>
  <c r="X21" i="1"/>
  <c r="AB118" i="1"/>
  <c r="AB115" i="1"/>
  <c r="AB31" i="1"/>
  <c r="X55" i="1"/>
  <c r="X54" i="1"/>
  <c r="AB55" i="1"/>
  <c r="X152" i="1"/>
  <c r="AB149" i="1"/>
  <c r="AB146" i="1"/>
  <c r="AB40" i="1"/>
  <c r="AB125" i="1"/>
  <c r="AB39" i="1"/>
  <c r="X86" i="1"/>
  <c r="AB150" i="1"/>
  <c r="AB110" i="1"/>
  <c r="AB107" i="1"/>
  <c r="AB58" i="1"/>
  <c r="E53" i="2"/>
  <c r="C7" i="2"/>
  <c r="AB50" i="1"/>
  <c r="AB102" i="1"/>
  <c r="X27" i="1"/>
  <c r="X42" i="1"/>
  <c r="X60" i="1"/>
  <c r="AB101" i="1"/>
  <c r="X122" i="1"/>
  <c r="X83" i="1"/>
  <c r="AB57" i="1"/>
  <c r="AB68" i="1"/>
  <c r="AB117" i="1"/>
  <c r="AB116" i="1"/>
  <c r="AB113" i="1"/>
  <c r="X48" i="1"/>
  <c r="X61" i="1"/>
  <c r="AB119" i="1"/>
  <c r="AB105" i="1"/>
  <c r="AB49" i="1"/>
  <c r="AB69" i="1"/>
  <c r="Z141" i="1"/>
  <c r="Z182" i="1" l="1"/>
  <c r="X182" i="1"/>
  <c r="Z183" i="1"/>
  <c r="AB183" i="1"/>
  <c r="X183" i="1"/>
  <c r="AB177" i="1"/>
  <c r="B3" i="2"/>
  <c r="AB176" i="1"/>
  <c r="E21" i="2"/>
  <c r="AB170" i="1"/>
  <c r="AB168" i="1"/>
  <c r="AB182" i="1" l="1"/>
</calcChain>
</file>

<file path=xl/sharedStrings.xml><?xml version="1.0" encoding="utf-8"?>
<sst xmlns="http://schemas.openxmlformats.org/spreadsheetml/2006/main" count="3812" uniqueCount="261">
  <si>
    <t>Reference</t>
  </si>
  <si>
    <t>Entry Time</t>
  </si>
  <si>
    <t>Exit Time</t>
  </si>
  <si>
    <t>Seconds Elapsed</t>
  </si>
  <si>
    <t>speed (m/s)</t>
  </si>
  <si>
    <t>Description</t>
  </si>
  <si>
    <t>Walking direction</t>
  </si>
  <si>
    <t>Distance</t>
  </si>
  <si>
    <t>in group?</t>
  </si>
  <si>
    <t>using phone?</t>
  </si>
  <si>
    <t>texting</t>
  </si>
  <si>
    <t>calling</t>
  </si>
  <si>
    <t>holding phone</t>
  </si>
  <si>
    <t>Gender</t>
  </si>
  <si>
    <t>away</t>
  </si>
  <si>
    <t>N</t>
  </si>
  <si>
    <t>Y</t>
  </si>
  <si>
    <t>F</t>
  </si>
  <si>
    <t>camel trousers man</t>
  </si>
  <si>
    <t>towards</t>
  </si>
  <si>
    <t xml:space="preserve">M </t>
  </si>
  <si>
    <t>white pack girl</t>
  </si>
  <si>
    <t>red backpack girl</t>
  </si>
  <si>
    <t>shorts guy</t>
  </si>
  <si>
    <t>grey hoodie</t>
  </si>
  <si>
    <t>stripe top pink shorts</t>
  </si>
  <si>
    <t>bright blue top</t>
  </si>
  <si>
    <t>leather jacket</t>
  </si>
  <si>
    <t>y</t>
  </si>
  <si>
    <t>twitching guy</t>
  </si>
  <si>
    <t>n</t>
  </si>
  <si>
    <t>linen trousers guy reading paper</t>
  </si>
  <si>
    <t>red dress sneakers</t>
  </si>
  <si>
    <t>geeky guy</t>
  </si>
  <si>
    <t>curly hair woman</t>
  </si>
  <si>
    <t>older man</t>
  </si>
  <si>
    <t>all white</t>
  </si>
  <si>
    <t>stripe dress</t>
  </si>
  <si>
    <t>rachel hair</t>
  </si>
  <si>
    <t>jeans</t>
  </si>
  <si>
    <t>blue shirt</t>
  </si>
  <si>
    <t>lad in cap</t>
  </si>
  <si>
    <t xml:space="preserve"> N</t>
  </si>
  <si>
    <t>long blonde girl</t>
  </si>
  <si>
    <t>long hair white guy</t>
  </si>
  <si>
    <t>red top girl</t>
  </si>
  <si>
    <t>gym junkie shorts</t>
  </si>
  <si>
    <t>blue with fluro yellow strap backpack</t>
  </si>
  <si>
    <t>yellow jumper girl</t>
  </si>
  <si>
    <t>blue tshirt guy with kebab</t>
  </si>
  <si>
    <t>white jumper tied around waist</t>
  </si>
  <si>
    <t>M</t>
  </si>
  <si>
    <t>Total</t>
  </si>
  <si>
    <t>Male</t>
  </si>
  <si>
    <t>Female</t>
  </si>
  <si>
    <t>Average Walking Speed (m/s)</t>
  </si>
  <si>
    <t>Percentage using phones</t>
  </si>
  <si>
    <t>Percentage Texting</t>
  </si>
  <si>
    <t>Percentage Holding Phone Only</t>
  </si>
  <si>
    <t>Number of Pedestrians</t>
  </si>
  <si>
    <t>blonde girl black pants</t>
  </si>
  <si>
    <t>red shirt guy</t>
  </si>
  <si>
    <t>black hair glasses</t>
  </si>
  <si>
    <t>bald dress shirt</t>
  </si>
  <si>
    <t>dreds and jeans</t>
  </si>
  <si>
    <t>converse short hair</t>
  </si>
  <si>
    <t>red shorts backpack</t>
  </si>
  <si>
    <t>curly hair blk jacket</t>
  </si>
  <si>
    <t>checkered shirt</t>
  </si>
  <si>
    <t>baseball cap white tee</t>
  </si>
  <si>
    <t>backpack blakc shorts</t>
  </si>
  <si>
    <t>all black clothes</t>
  </si>
  <si>
    <t>headphones brown shirt</t>
  </si>
  <si>
    <t>jean jacket</t>
  </si>
  <si>
    <t>grey shirt tall</t>
  </si>
  <si>
    <t>tan sweater ponytail</t>
  </si>
  <si>
    <t>white shirt</t>
  </si>
  <si>
    <t>backpack jeans</t>
  </si>
  <si>
    <t>walking stick</t>
  </si>
  <si>
    <t>blue shirt yellow stripes</t>
  </si>
  <si>
    <t>green shirt backpack</t>
  </si>
  <si>
    <t>maroon shirt</t>
  </si>
  <si>
    <t>red sweatshirt</t>
  </si>
  <si>
    <t>red fancy pants</t>
  </si>
  <si>
    <t>grey shirt jeans</t>
  </si>
  <si>
    <t>red sweater sweatpants</t>
  </si>
  <si>
    <t>dark hoodie shorts</t>
  </si>
  <si>
    <t>yoga pants bun</t>
  </si>
  <si>
    <t>white shirt black hair</t>
  </si>
  <si>
    <t>brown shirt back pack</t>
  </si>
  <si>
    <t xml:space="preserve">F </t>
  </si>
  <si>
    <t>grey cloak pink shoes</t>
  </si>
  <si>
    <t>black shirt back pack</t>
  </si>
  <si>
    <t>gym shorts backpack</t>
  </si>
  <si>
    <t>jean shorts tan bag</t>
  </si>
  <si>
    <t>grey sweater backpack</t>
  </si>
  <si>
    <t>brown shirt gatorade</t>
  </si>
  <si>
    <t>pink shirt</t>
  </si>
  <si>
    <t>Black jumper and shorts</t>
  </si>
  <si>
    <t>track pants baseball cap</t>
  </si>
  <si>
    <t>blue shirt and khakis</t>
  </si>
  <si>
    <t>black shirt sunnies</t>
  </si>
  <si>
    <t>light sweater and jeans</t>
  </si>
  <si>
    <t>black hair green jacket</t>
  </si>
  <si>
    <t>black shirt ripped jeans</t>
  </si>
  <si>
    <t>hat, sandals, backpack</t>
  </si>
  <si>
    <t>grey sweater and shorts</t>
  </si>
  <si>
    <t>bun and scarf</t>
  </si>
  <si>
    <t>ripped jeans white sneakers</t>
  </si>
  <si>
    <t>scarf, dress, glasses</t>
  </si>
  <si>
    <t>green satchel grey hair</t>
  </si>
  <si>
    <t>jacket around waist and backpack</t>
  </si>
  <si>
    <t>small child yellow shirt</t>
  </si>
  <si>
    <t>hat, backpack, grey sweater around waist</t>
  </si>
  <si>
    <t>red striped shorts</t>
  </si>
  <si>
    <t>dark blue sweater</t>
  </si>
  <si>
    <t>pink striped shirt</t>
  </si>
  <si>
    <t>pink polka dot jumper</t>
  </si>
  <si>
    <t>white shirt tan pants</t>
  </si>
  <si>
    <t>white jumper</t>
  </si>
  <si>
    <t>pink jumper and shorts</t>
  </si>
  <si>
    <t>purple shirt</t>
  </si>
  <si>
    <t>black cap black clothes</t>
  </si>
  <si>
    <t>white jumper and shorts</t>
  </si>
  <si>
    <t>black shirt cargo shorts</t>
  </si>
  <si>
    <t>hat blue checkered shirt</t>
  </si>
  <si>
    <t>green shirt baseball cap</t>
  </si>
  <si>
    <t>maroon shirt black pants</t>
  </si>
  <si>
    <t>floral shirt satchel</t>
  </si>
  <si>
    <t>coral shirt and bun</t>
  </si>
  <si>
    <t>black shirt grey bag</t>
  </si>
  <si>
    <t>blonde hair and sunnies</t>
  </si>
  <si>
    <t>pink shirt jeans</t>
  </si>
  <si>
    <t>white shirt khakis</t>
  </si>
  <si>
    <t>white shirt blue backpack</t>
  </si>
  <si>
    <t>sweater vest</t>
  </si>
  <si>
    <t>black shirt jean skirt</t>
  </si>
  <si>
    <t>blonde red skirt</t>
  </si>
  <si>
    <t>blue shirt jeans</t>
  </si>
  <si>
    <t>headphones all black</t>
  </si>
  <si>
    <t>glasses yoga pants</t>
  </si>
  <si>
    <t>track pants ponytail</t>
  </si>
  <si>
    <t>blue collared shirt</t>
  </si>
  <si>
    <t>black shirt white shoes</t>
  </si>
  <si>
    <t>teal shirt khakis</t>
  </si>
  <si>
    <t>patterned shirt jeans</t>
  </si>
  <si>
    <t>pale shirt jeans</t>
  </si>
  <si>
    <t>grey hair black shirt</t>
  </si>
  <si>
    <t>grey sweater brown shoes</t>
  </si>
  <si>
    <t>red shirt jeans</t>
  </si>
  <si>
    <t>all black clothes gold shoes</t>
  </si>
  <si>
    <t>grey and balck hoodie</t>
  </si>
  <si>
    <t>white jumper grey hat</t>
  </si>
  <si>
    <t>coral shirt black vest</t>
  </si>
  <si>
    <t>grey shirt jean skirt</t>
  </si>
  <si>
    <t>black shirt brown bag</t>
  </si>
  <si>
    <t>black clothes water bottle</t>
  </si>
  <si>
    <t>black clothes black bag</t>
  </si>
  <si>
    <t>striped shirt</t>
  </si>
  <si>
    <t>colorful backpack</t>
  </si>
  <si>
    <t>yellow dress</t>
  </si>
  <si>
    <t>white shirt black pants</t>
  </si>
  <si>
    <t>tan shirt black pants</t>
  </si>
  <si>
    <t>white dress shirt black pants</t>
  </si>
  <si>
    <t>fuschia jumper</t>
  </si>
  <si>
    <t>blonde black clothes</t>
  </si>
  <si>
    <t>white shirt black leather jacket</t>
  </si>
  <si>
    <t>dark green jumper sports bag</t>
  </si>
  <si>
    <t>striped shirt two bags</t>
  </si>
  <si>
    <t>pink jumper black pants</t>
  </si>
  <si>
    <t>blue shirt shorts</t>
  </si>
  <si>
    <t>white shirt tan hat</t>
  </si>
  <si>
    <t>dark shirt tan hat</t>
  </si>
  <si>
    <t>red shirt</t>
  </si>
  <si>
    <t>pink shirt black pants</t>
  </si>
  <si>
    <t>blue shirt blue back pack</t>
  </si>
  <si>
    <t>dark blue jumper and sunnie</t>
  </si>
  <si>
    <t>brown tank top pink shoes</t>
  </si>
  <si>
    <t>blonde hair blue bag</t>
  </si>
  <si>
    <t>black shirt grey skirt</t>
  </si>
  <si>
    <t>black jumper jeans</t>
  </si>
  <si>
    <t>dark blue dress shirt</t>
  </si>
  <si>
    <t>Time Elapsed</t>
  </si>
  <si>
    <t>Following Average</t>
  </si>
  <si>
    <t>Following average average</t>
  </si>
  <si>
    <t>Texting averages</t>
  </si>
  <si>
    <t>Calling averages</t>
  </si>
  <si>
    <t>Group averages</t>
  </si>
  <si>
    <t>folowing average average</t>
  </si>
  <si>
    <t>Control</t>
  </si>
  <si>
    <t>phone free</t>
  </si>
  <si>
    <t>Percentage Not Using Phones</t>
  </si>
  <si>
    <t>Percentage Number Calling</t>
  </si>
  <si>
    <t>Percentage In a group</t>
  </si>
  <si>
    <t>Standard Deviation (m/s)</t>
  </si>
  <si>
    <t>All Pedestrians</t>
  </si>
  <si>
    <t>Stdev</t>
  </si>
  <si>
    <t xml:space="preserve">Subgroup Following a Group
</t>
  </si>
  <si>
    <t xml:space="preserve">Subgroup Following a Calling pedestrian
</t>
  </si>
  <si>
    <t xml:space="preserve">Subgroup Following a Texting Pedestrian
</t>
  </si>
  <si>
    <t>Overtakes</t>
  </si>
  <si>
    <t>Overtaken</t>
  </si>
  <si>
    <t>168 and 170</t>
  </si>
  <si>
    <t>146 and 150</t>
  </si>
  <si>
    <t>132 and 133</t>
  </si>
  <si>
    <t>109 and 110</t>
  </si>
  <si>
    <t>117 118 119</t>
  </si>
  <si>
    <t>117 118 119 122</t>
  </si>
  <si>
    <t>1324 125 126</t>
  </si>
  <si>
    <t>70 71</t>
  </si>
  <si>
    <t>76 77 78 79</t>
  </si>
  <si>
    <t>77 78</t>
  </si>
  <si>
    <t>90 94 95 96</t>
  </si>
  <si>
    <t>People overtaken</t>
  </si>
  <si>
    <t>Overall</t>
  </si>
  <si>
    <t>Texting</t>
  </si>
  <si>
    <t>Calling</t>
  </si>
  <si>
    <t>Holding phone</t>
  </si>
  <si>
    <t>In a group</t>
  </si>
  <si>
    <t>Overtook others</t>
  </si>
  <si>
    <t>Alone</t>
  </si>
  <si>
    <t>Not using phone</t>
  </si>
  <si>
    <t>in a group</t>
  </si>
  <si>
    <t>Percentage of General Data Set</t>
  </si>
  <si>
    <t>Percentage of Overtakers</t>
  </si>
  <si>
    <t>Number</t>
  </si>
  <si>
    <t>Alone and not using phone</t>
  </si>
  <si>
    <t>white shirt grey shoes   guy</t>
  </si>
  <si>
    <t xml:space="preserve">bayalage   </t>
  </si>
  <si>
    <t>blue outfit   guy</t>
  </si>
  <si>
    <t>black backpack   guy</t>
  </si>
  <si>
    <t>emo clothes guy</t>
  </si>
  <si>
    <t>black top girl</t>
  </si>
  <si>
    <t>blue jeans girl</t>
  </si>
  <si>
    <t>beard guy</t>
  </si>
  <si>
    <t xml:space="preserve"> ponytail grey backpack</t>
  </si>
  <si>
    <t>puma bag girl</t>
  </si>
  <si>
    <t>big guy</t>
  </si>
  <si>
    <t>white shirt woman staff member</t>
  </si>
  <si>
    <t>girl loose black pants</t>
  </si>
  <si>
    <t>white top girl satchel bag</t>
  </si>
  <si>
    <t>guy business clothes</t>
  </si>
  <si>
    <t xml:space="preserve">white pants </t>
  </si>
  <si>
    <t>long hair guy</t>
  </si>
  <si>
    <t>girl navy jumper</t>
  </si>
  <si>
    <t>green shorts guy</t>
  </si>
  <si>
    <t>dark hair</t>
  </si>
  <si>
    <t>guy in thongs</t>
  </si>
  <si>
    <t>tall stripe shirt</t>
  </si>
  <si>
    <t>Phone Follower</t>
  </si>
  <si>
    <t>Group Follower</t>
  </si>
  <si>
    <t>Text Follower</t>
  </si>
  <si>
    <t>Phone Follower Follower</t>
  </si>
  <si>
    <t>Phone Follower Follower Follower</t>
  </si>
  <si>
    <t>Degree 1-3</t>
  </si>
  <si>
    <t>SUBTOTAL(101,[speed (m/s)])</t>
  </si>
  <si>
    <t>Mean</t>
  </si>
  <si>
    <t>StDev</t>
  </si>
  <si>
    <t>Count</t>
  </si>
  <si>
    <t>Call Follower</t>
  </si>
  <si>
    <t>CALL Follower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</si>
</sst>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2" fontId="0" fillId="0" borderId="0" xfId="0" applyNumberFormat="1"/>
    <xf numFmtId="9" fontId="0" fillId="0" borderId="0" xfId="1" applyFont="1"/>
    <xf numFmtId="0" fontId="0" fillId="0" borderId="0" xfId="0" applyFill="1"/>
    <xf numFmtId="2" fontId="0" fillId="0" borderId="0" xfId="0" applyNumberFormat="1" applyFill="1"/>
    <xf numFmtId="21" fontId="0" fillId="0" borderId="0" xfId="0" applyNumberFormat="1" applyFill="1"/>
    <xf numFmtId="20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0" fontId="0" fillId="0" borderId="0" xfId="0" applyNumberFormat="1" applyFill="1"/>
    <xf numFmtId="0" fontId="0" fillId="0" borderId="0" xfId="0" applyAlignment="1">
      <alignment wrapText="1"/>
    </xf>
    <xf numFmtId="10" fontId="0" fillId="0" borderId="0" xfId="1" applyNumberFormat="1" applyFont="1"/>
    <xf numFmtId="21" fontId="0" fillId="2" borderId="1" xfId="0" applyNumberFormat="1" applyFont="1" applyFill="1" applyBorder="1"/>
    <xf numFmtId="164" fontId="0" fillId="2" borderId="1" xfId="0" applyNumberFormat="1" applyFont="1" applyFill="1" applyBorder="1"/>
    <xf numFmtId="0" fontId="0" fillId="2" borderId="1" xfId="0" applyNumberFormat="1" applyFont="1" applyFill="1" applyBorder="1"/>
    <xf numFmtId="2" fontId="0" fillId="2" borderId="1" xfId="0" applyNumberFormat="1" applyFont="1" applyFill="1" applyBorder="1"/>
    <xf numFmtId="0" fontId="0" fillId="2" borderId="1" xfId="0" applyFont="1" applyFill="1" applyBorder="1"/>
    <xf numFmtId="21" fontId="0" fillId="3" borderId="1" xfId="0" applyNumberFormat="1" applyFont="1" applyFill="1" applyBorder="1"/>
    <xf numFmtId="164" fontId="0" fillId="3" borderId="1" xfId="0" applyNumberFormat="1" applyFont="1" applyFill="1" applyBorder="1"/>
    <xf numFmtId="0" fontId="0" fillId="3" borderId="1" xfId="0" applyNumberFormat="1" applyFont="1" applyFill="1" applyBorder="1"/>
    <xf numFmtId="2" fontId="0" fillId="3" borderId="1" xfId="0" applyNumberFormat="1" applyFont="1" applyFill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2" borderId="2" xfId="0" applyFont="1" applyFill="1" applyBorder="1"/>
    <xf numFmtId="20" fontId="0" fillId="3" borderId="1" xfId="0" applyNumberFormat="1" applyFont="1" applyFill="1" applyBorder="1"/>
  </cellXfs>
  <cellStyles count="4">
    <cellStyle name="Followed Hyperlink" xfId="3" builtinId="9" hidden="1"/>
    <cellStyle name="Hyperlink" xfId="2" builtinId="8" hidden="1"/>
    <cellStyle name="Normal" xfId="0" builtinId="0"/>
    <cellStyle name="Percent" xfId="1" builtinId="5"/>
  </cellStyles>
  <dxfs count="4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numFmt numFmtId="26" formatCode="h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indexed="64"/>
          <bgColor indexed="65"/>
        </patternFill>
      </fill>
    </dxf>
    <dxf>
      <numFmt numFmtId="166" formatCode="h:mm:ss"/>
      <fill>
        <patternFill patternType="none">
          <fgColor indexed="64"/>
          <bgColor indexed="65"/>
        </patternFill>
      </fill>
    </dxf>
    <dxf>
      <numFmt numFmtId="166" formatCode="h:mm:ss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Analysis!$A$21</c:f>
              <c:strCache>
                <c:ptCount val="1"/>
                <c:pt idx="0">
                  <c:v>Average Walking Speed (m/s)</c:v>
                </c:pt>
              </c:strCache>
            </c:strRef>
          </c:tx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Analysis!$B$22:$E$22</c:f>
              </c:numRef>
            </c:plus>
            <c:minus>
              <c:numRef>
                <c:f>Analysis!$B$22:$E$22</c:f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Analysis!$B$21:$E$21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Analysis!$B$20:$E$20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D11-4EB9-98A4-248F86F6E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0071376"/>
        <c:axId val="176706416"/>
      </c:barChart>
      <c:catAx>
        <c:axId val="18007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06416"/>
        <c:crosses val="autoZero"/>
        <c:auto val="1"/>
        <c:lblAlgn val="ctr"/>
        <c:lblOffset val="100"/>
        <c:noMultiLvlLbl val="0"/>
      </c:catAx>
      <c:valAx>
        <c:axId val="17670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7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1600200</xdr:colOff>
      <xdr:row>25</xdr:row>
      <xdr:rowOff>180974</xdr:rowOff>
    </xdr:from>
    <xdr:to>
      <xdr:col>7</xdr:col>
      <xdr:colOff>457200</xdr:colOff>
      <xdr:row>44</xdr:row>
      <xdr:rowOff>123824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57C6FC-0FAA-4E6B-99F9-9B3CFCA76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ORIG" displayName="ORIG" ref="A1:V182" totalsRowCount="1" headerRowDxfId="45" dataDxfId="44">
  <autoFilter ref="A1:V181" xr:uid="{46B08E9C-DB8A-B047-8237-7E0AF6218735}">
    <filterColumn colId="7">
      <filters>
        <filter val="away"/>
      </filters>
    </filterColumn>
  </autoFilter>
  <sortState ref="A2:Q181">
    <sortCondition ref="A1:A181"/>
  </sortState>
  <tableColumns count="22">
    <tableColumn id="1" xr3:uid="{00000000-0010-0000-0000-000001000000}" name="Reference" totalsRowLabel="Total" dataDxfId="43" totalsRowDxfId="21"/>
    <tableColumn id="2" xr3:uid="{00000000-0010-0000-0000-000002000000}" name="Entry Time" totalsRowFunction="custom" dataDxfId="42" totalsRowDxfId="20">
      <totalsRowFormula>B181-B3</totalsRowFormula>
    </tableColumn>
    <tableColumn id="3" xr3:uid="{00000000-0010-0000-0000-000003000000}" name="Exit Time" totalsRowFunction="custom" dataDxfId="41" totalsRowDxfId="19">
      <totalsRowFormula>C181-C3</totalsRowFormula>
    </tableColumn>
    <tableColumn id="4" xr3:uid="{00000000-0010-0000-0000-000004000000}" name="Time Elapsed" dataDxfId="40" totalsRowDxfId="18">
      <calculatedColumnFormula>ORIG[[#This Row],[Exit Time]]-ORIG[[#This Row],[Entry Time]]</calculatedColumnFormula>
    </tableColumn>
    <tableColumn id="15" xr3:uid="{00000000-0010-0000-0000-00000F000000}" name="Seconds Elapsed" totalsRowFunction="average" dataDxfId="39" totalsRowDxfId="17">
      <calculatedColumnFormula>ORIG[[#This Row],[Time Elapsed]]*24*60*60</calculatedColumnFormula>
    </tableColumn>
    <tableColumn id="5" xr3:uid="{00000000-0010-0000-0000-000005000000}" name="speed (m/s)" totalsRowLabel="SUBTOTAL(101,[speed (m/s)])" dataDxfId="38" totalsRowDxfId="16">
      <calculatedColumnFormula>I2/E2</calculatedColumnFormula>
    </tableColumn>
    <tableColumn id="6" xr3:uid="{00000000-0010-0000-0000-000006000000}" name="Description" dataDxfId="37" totalsRowDxfId="15"/>
    <tableColumn id="7" xr3:uid="{00000000-0010-0000-0000-000007000000}" name="Walking direction" dataDxfId="36" totalsRowDxfId="14"/>
    <tableColumn id="8" xr3:uid="{00000000-0010-0000-0000-000008000000}" name="Distance" dataDxfId="35" totalsRowDxfId="13">
      <calculatedColumnFormula>IF(H2="away", $AE$1, $AF$1)</calculatedColumnFormula>
    </tableColumn>
    <tableColumn id="9" xr3:uid="{00000000-0010-0000-0000-000009000000}" name="in group?" totalsRowFunction="custom" dataDxfId="34" totalsRowDxfId="12">
      <totalsRowFormula>COUNTIF(ORIG[in group?], "Y")</totalsRowFormula>
    </tableColumn>
    <tableColumn id="10" xr3:uid="{00000000-0010-0000-0000-00000A000000}" name="using phone?" totalsRowFunction="custom" dataDxfId="33" totalsRowDxfId="11">
      <totalsRowFormula>COUNTIF(ORIG[using phone?], "Y")</totalsRowFormula>
    </tableColumn>
    <tableColumn id="11" xr3:uid="{00000000-0010-0000-0000-00000B000000}" name="texting" totalsRowFunction="custom" dataDxfId="32" totalsRowDxfId="10">
      <totalsRowFormula>COUNTIF(ORIG[texting], "Y")</totalsRowFormula>
    </tableColumn>
    <tableColumn id="12" xr3:uid="{00000000-0010-0000-0000-00000C000000}" name="calling" totalsRowFunction="custom" dataDxfId="31" totalsRowDxfId="9">
      <totalsRowFormula>COUNTIF(ORIG[calling], "Y")</totalsRowFormula>
    </tableColumn>
    <tableColumn id="13" xr3:uid="{00000000-0010-0000-0000-00000D000000}" name="holding phone" totalsRowFunction="custom" dataDxfId="30" totalsRowDxfId="8">
      <totalsRowFormula>COUNTIF(ORIG[holding phone], "Y")</totalsRowFormula>
    </tableColumn>
    <tableColumn id="14" xr3:uid="{00000000-0010-0000-0000-00000E000000}" name="Gender" totalsRowFunction="count" dataDxfId="29" totalsRowDxfId="7"/>
    <tableColumn id="17" xr3:uid="{00000000-0010-0000-0000-000011000000}" name="Overtaken" totalsRowFunction="count" dataDxfId="28" totalsRowDxfId="6"/>
    <tableColumn id="16" xr3:uid="{00000000-0010-0000-0000-000010000000}" name="Overtakes" totalsRowFunction="count" dataDxfId="27" totalsRowDxfId="5"/>
    <tableColumn id="18" xr3:uid="{DBD1715D-ECF7-5C40-BAFC-E84B758BC5DA}" name="Phone Follower" dataDxfId="26" totalsRowDxfId="4"/>
    <tableColumn id="22" xr3:uid="{F0096FC7-7BD7-9945-B739-DFC4A8EF400B}" name="Phone Follower Follower" dataDxfId="25" totalsRowDxfId="3">
      <calculatedColumnFormula>IF(ORIG[[#This Row],[Phone Follower]]="Y","Y","N")</calculatedColumnFormula>
    </tableColumn>
    <tableColumn id="21" xr3:uid="{3B2983A7-9D70-F64F-9220-870142190D26}" name="Phone Follower Follower Follower" dataDxfId="24" totalsRowDxfId="2"/>
    <tableColumn id="20" xr3:uid="{E21A4702-8B15-BB42-943C-246069292034}" name="Text Follower" dataDxfId="23" totalsRowDxfId="1"/>
    <tableColumn id="19" xr3:uid="{9724A47E-5DC4-294D-B20C-714BED5F3FC7}" name="Group Follower" dataDxfId="22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workbookViewId="0">
      <selection activeCell="D3" sqref="D3"/>
    </sheetView>
  </sheetViews>
  <sheetFormatPr baseColWidth="10" defaultColWidth="8.83203125" defaultRowHeight="16"/>
  <cols>
    <col min="1" max="1" width="27" bestFit="1" customWidth="1"/>
    <col min="2" max="2" width="19.5" customWidth="1"/>
    <col min="3" max="3" width="26.83203125" bestFit="1" customWidth="1"/>
    <col min="4" max="4" width="9.33203125" bestFit="1" customWidth="1"/>
    <col min="5" max="5" width="22.33203125" bestFit="1" customWidth="1"/>
  </cols>
  <sheetData>
    <row r="1" spans="1:4">
      <c r="B1" t="s">
        <v>52</v>
      </c>
      <c r="C1" t="s">
        <v>53</v>
      </c>
      <c r="D1" t="s">
        <v>54</v>
      </c>
    </row>
    <row r="2" spans="1:4">
      <c r="A2" t="s">
        <v>59</v>
      </c>
      <c r="B2">
        <f>ORIG[[#Totals],[Gender]]</f>
        <v>114</v>
      </c>
      <c r="C2" t="e">
        <f>#REF!</f>
        <v>#REF!</v>
      </c>
      <c r="D2" t="e">
        <f>#REF!</f>
        <v>#REF!</v>
      </c>
    </row>
    <row r="3" spans="1:4">
      <c r="A3" t="s">
        <v>55</v>
      </c>
      <c r="B3" s="1" t="str">
        <f>ORIG[[#Totals],[speed (m/s)]]</f>
        <v>SUBTOTAL(101,[speed (m/s)])</v>
      </c>
      <c r="C3" s="1" t="e">
        <f>#REF!</f>
        <v>#REF!</v>
      </c>
      <c r="D3" s="1" t="e">
        <f>#REF!</f>
        <v>#REF!</v>
      </c>
    </row>
    <row r="4" spans="1:4">
      <c r="A4" t="s">
        <v>56</v>
      </c>
      <c r="B4" s="2">
        <f>31/180</f>
        <v>0.17222222222222222</v>
      </c>
      <c r="C4" s="2" t="e">
        <f>#REF!/#REF!</f>
        <v>#REF!</v>
      </c>
      <c r="D4" s="2" t="e">
        <f>#REF!/#REF!</f>
        <v>#REF!</v>
      </c>
    </row>
    <row r="5" spans="1:4">
      <c r="A5" t="s">
        <v>57</v>
      </c>
      <c r="B5" s="2">
        <f>ORIG[[#Totals],[texting]]/ORIG[[#Totals],[Gender]]</f>
        <v>0.23684210526315788</v>
      </c>
      <c r="C5" s="2" t="e">
        <f>#REF!/#REF!</f>
        <v>#REF!</v>
      </c>
      <c r="D5" s="2" t="e">
        <f>#REF!/#REF!</f>
        <v>#REF!</v>
      </c>
    </row>
    <row r="6" spans="1:4">
      <c r="A6" t="s">
        <v>192</v>
      </c>
      <c r="B6" s="2">
        <f>ORIG[[#Totals],[calling]]/180</f>
        <v>2.2222222222222223E-2</v>
      </c>
      <c r="C6" s="2" t="e">
        <f>#REF!/92</f>
        <v>#REF!</v>
      </c>
      <c r="D6" s="2" t="e">
        <f>#REF!/88</f>
        <v>#REF!</v>
      </c>
    </row>
    <row r="7" spans="1:4">
      <c r="A7" t="s">
        <v>58</v>
      </c>
      <c r="B7" s="2">
        <f>27/B2</f>
        <v>0.23684210526315788</v>
      </c>
      <c r="C7" s="2" t="e">
        <f>#REF!/92</f>
        <v>#REF!</v>
      </c>
      <c r="D7" s="2" t="e">
        <f>#REF!/88</f>
        <v>#REF!</v>
      </c>
    </row>
    <row r="8" spans="1:4">
      <c r="A8" t="s">
        <v>191</v>
      </c>
      <c r="B8" s="2">
        <f>1-B4</f>
        <v>0.82777777777777772</v>
      </c>
      <c r="C8" s="2" t="e">
        <f>1-C4</f>
        <v>#REF!</v>
      </c>
      <c r="D8" s="2" t="e">
        <f>1-D4</f>
        <v>#REF!</v>
      </c>
    </row>
    <row r="9" spans="1:4" ht="13.5" customHeight="1">
      <c r="A9" t="s">
        <v>193</v>
      </c>
      <c r="B9" s="2">
        <f>ORIG[[#Totals],[in group?]]/ORIG[[#Totals],[Gender]]</f>
        <v>0.44736842105263158</v>
      </c>
      <c r="C9" s="2" t="e">
        <f>#REF!/#REF!</f>
        <v>#REF!</v>
      </c>
      <c r="D9" s="2" t="e">
        <f>#REF!/#REF!</f>
        <v>#REF!</v>
      </c>
    </row>
    <row r="11" spans="1:4" hidden="1"/>
    <row r="12" spans="1:4" hidden="1"/>
    <row r="13" spans="1:4" hidden="1"/>
    <row r="14" spans="1:4" hidden="1"/>
    <row r="15" spans="1:4" hidden="1"/>
    <row r="16" spans="1:4" hidden="1"/>
    <row r="17" spans="1:6" hidden="1"/>
    <row r="18" spans="1:6" hidden="1"/>
    <row r="19" spans="1:6" hidden="1"/>
    <row r="20" spans="1:6" ht="64" hidden="1">
      <c r="B20" s="10" t="s">
        <v>199</v>
      </c>
      <c r="C20" s="10" t="s">
        <v>198</v>
      </c>
      <c r="D20" s="10" t="s">
        <v>197</v>
      </c>
      <c r="E20" s="10" t="s">
        <v>195</v>
      </c>
      <c r="F20" s="10"/>
    </row>
    <row r="21" spans="1:6" hidden="1">
      <c r="A21" t="s">
        <v>55</v>
      </c>
      <c r="B21" s="1">
        <v>2.0545952315219473</v>
      </c>
      <c r="C21" s="1">
        <v>1.8381533547578683</v>
      </c>
      <c r="D21" s="1">
        <v>1.9275817494422376</v>
      </c>
      <c r="E21" s="1" t="str">
        <f>ORIG[[#Totals],[speed (m/s)]]</f>
        <v>SUBTOTAL(101,[speed (m/s)])</v>
      </c>
      <c r="F21" s="1"/>
    </row>
    <row r="22" spans="1:6" hidden="1">
      <c r="A22" t="s">
        <v>194</v>
      </c>
      <c r="B22" s="1">
        <v>0.17263713030701089</v>
      </c>
      <c r="C22" s="1">
        <v>0.26960706336331203</v>
      </c>
      <c r="D22" s="1">
        <v>0.20367738529735802</v>
      </c>
      <c r="E22" s="1">
        <v>0.55000000000000004</v>
      </c>
    </row>
    <row r="23" spans="1:6" hidden="1"/>
    <row r="24" spans="1:6" hidden="1"/>
    <row r="25" spans="1:6" hidden="1"/>
    <row r="26" spans="1:6" hidden="1"/>
    <row r="27" spans="1:6" hidden="1"/>
    <row r="28" spans="1:6" hidden="1"/>
    <row r="29" spans="1:6" hidden="1"/>
    <row r="30" spans="1:6" hidden="1"/>
    <row r="31" spans="1:6" hidden="1"/>
    <row r="32" spans="1:6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spans="1:7">
      <c r="B49" t="s">
        <v>214</v>
      </c>
      <c r="C49" t="s">
        <v>223</v>
      </c>
      <c r="D49" t="s">
        <v>53</v>
      </c>
      <c r="E49" t="s">
        <v>223</v>
      </c>
      <c r="F49" t="s">
        <v>54</v>
      </c>
      <c r="G49" t="s">
        <v>223</v>
      </c>
    </row>
    <row r="50" spans="1:7">
      <c r="A50" t="s">
        <v>213</v>
      </c>
      <c r="B50">
        <v>33</v>
      </c>
      <c r="C50" s="2">
        <f>33/B2</f>
        <v>0.28947368421052633</v>
      </c>
      <c r="D50">
        <v>13</v>
      </c>
      <c r="E50" s="2" t="e">
        <f>D50/C2</f>
        <v>#REF!</v>
      </c>
      <c r="F50">
        <v>20</v>
      </c>
      <c r="G50" s="2" t="e">
        <f>F50/D2</f>
        <v>#REF!</v>
      </c>
    </row>
    <row r="51" spans="1:7">
      <c r="A51" t="s">
        <v>215</v>
      </c>
      <c r="B51">
        <v>5</v>
      </c>
      <c r="C51" s="2">
        <f>B51/ORIG[[#Totals],[texting]]</f>
        <v>0.18518518518518517</v>
      </c>
      <c r="D51">
        <v>2</v>
      </c>
      <c r="E51" s="2" t="e">
        <f>D51/#REF!</f>
        <v>#REF!</v>
      </c>
      <c r="F51">
        <v>3</v>
      </c>
      <c r="G51" s="2" t="e">
        <f>F51/#REF!</f>
        <v>#REF!</v>
      </c>
    </row>
    <row r="52" spans="1:7">
      <c r="A52" t="s">
        <v>216</v>
      </c>
      <c r="B52">
        <v>0</v>
      </c>
      <c r="C52" s="2">
        <v>0</v>
      </c>
      <c r="D52">
        <v>0</v>
      </c>
      <c r="E52" s="2">
        <v>0</v>
      </c>
      <c r="F52">
        <v>0</v>
      </c>
      <c r="G52" s="2">
        <v>0</v>
      </c>
    </row>
    <row r="53" spans="1:7">
      <c r="A53" t="s">
        <v>217</v>
      </c>
      <c r="B53">
        <v>11</v>
      </c>
      <c r="C53" s="2">
        <f>B53/'Raw data'!N185</f>
        <v>0.40740740740740738</v>
      </c>
      <c r="D53">
        <v>8</v>
      </c>
      <c r="E53" s="2" t="e">
        <f>D53/#REF!</f>
        <v>#REF!</v>
      </c>
      <c r="F53">
        <v>3</v>
      </c>
      <c r="G53" s="2" t="e">
        <f>F53/#REF!</f>
        <v>#REF!</v>
      </c>
    </row>
    <row r="54" spans="1:7">
      <c r="A54" t="s">
        <v>218</v>
      </c>
      <c r="B54">
        <v>16</v>
      </c>
      <c r="C54" s="2">
        <f>B54/ORIG[[#Totals],[in group?]]</f>
        <v>0.31372549019607843</v>
      </c>
      <c r="D54">
        <v>13</v>
      </c>
      <c r="E54" s="2" t="e">
        <f>D54/#REF!</f>
        <v>#REF!</v>
      </c>
      <c r="F54">
        <v>3</v>
      </c>
      <c r="G54" s="2" t="e">
        <f>F54/#REF!</f>
        <v>#REF!</v>
      </c>
    </row>
    <row r="55" spans="1:7">
      <c r="A55" t="s">
        <v>219</v>
      </c>
      <c r="B55">
        <v>22</v>
      </c>
      <c r="C55" s="2">
        <f>B55/B2</f>
        <v>0.19298245614035087</v>
      </c>
      <c r="D55">
        <v>13</v>
      </c>
      <c r="E55" s="2" t="e">
        <f>D55/C2</f>
        <v>#REF!</v>
      </c>
      <c r="F55">
        <v>9</v>
      </c>
      <c r="G55" s="2" t="e">
        <f>F55/D2</f>
        <v>#REF!</v>
      </c>
    </row>
    <row r="56" spans="1:7">
      <c r="A56" t="s">
        <v>226</v>
      </c>
      <c r="B56">
        <v>9</v>
      </c>
      <c r="C56" s="2">
        <f>B56/B2</f>
        <v>7.8947368421052627E-2</v>
      </c>
      <c r="D56">
        <v>7</v>
      </c>
      <c r="F56">
        <v>2</v>
      </c>
    </row>
    <row r="61" spans="1:7">
      <c r="B61" t="s">
        <v>225</v>
      </c>
      <c r="C61" t="s">
        <v>224</v>
      </c>
      <c r="D61" t="s">
        <v>53</v>
      </c>
      <c r="E61" t="s">
        <v>224</v>
      </c>
      <c r="F61" t="s">
        <v>54</v>
      </c>
      <c r="G61" t="s">
        <v>224</v>
      </c>
    </row>
    <row r="62" spans="1:7">
      <c r="A62" t="s">
        <v>219</v>
      </c>
      <c r="B62">
        <v>22</v>
      </c>
      <c r="D62">
        <v>13</v>
      </c>
      <c r="E62" s="2">
        <f>D62/B62</f>
        <v>0.59090909090909094</v>
      </c>
      <c r="F62">
        <v>9</v>
      </c>
      <c r="G62" s="2">
        <f>F62/B62</f>
        <v>0.40909090909090912</v>
      </c>
    </row>
    <row r="63" spans="1:7">
      <c r="A63" t="s">
        <v>220</v>
      </c>
      <c r="B63">
        <v>20</v>
      </c>
      <c r="C63" s="2">
        <f>B63/B55</f>
        <v>0.90909090909090906</v>
      </c>
      <c r="D63">
        <v>12</v>
      </c>
      <c r="E63" s="2">
        <f>D63/B63</f>
        <v>0.6</v>
      </c>
      <c r="F63">
        <v>8</v>
      </c>
      <c r="G63" s="2">
        <f>F63/B63</f>
        <v>0.4</v>
      </c>
    </row>
    <row r="64" spans="1:7">
      <c r="A64" t="s">
        <v>221</v>
      </c>
      <c r="B64">
        <v>21</v>
      </c>
      <c r="C64" s="2">
        <f>B64/B55</f>
        <v>0.95454545454545459</v>
      </c>
      <c r="D64">
        <v>13</v>
      </c>
      <c r="E64" s="2">
        <f>D64/D55</f>
        <v>1</v>
      </c>
      <c r="F64">
        <v>8</v>
      </c>
      <c r="G64" s="2">
        <f>F64/F55</f>
        <v>0.88888888888888884</v>
      </c>
    </row>
    <row r="65" spans="1:7">
      <c r="A65" t="s">
        <v>222</v>
      </c>
      <c r="B65">
        <v>2</v>
      </c>
      <c r="C65" s="2">
        <f>B65/B55</f>
        <v>9.0909090909090912E-2</v>
      </c>
      <c r="D65">
        <v>1</v>
      </c>
      <c r="E65" s="2">
        <f>D65/D55</f>
        <v>7.6923076923076927E-2</v>
      </c>
      <c r="F65">
        <v>1</v>
      </c>
      <c r="G65" s="2">
        <f>F65/F55</f>
        <v>0.1111111111111111</v>
      </c>
    </row>
    <row r="66" spans="1:7">
      <c r="A66" t="s">
        <v>10</v>
      </c>
      <c r="B66">
        <v>1</v>
      </c>
      <c r="C66" s="2"/>
      <c r="D66">
        <v>0</v>
      </c>
      <c r="E66" s="2"/>
      <c r="F66">
        <v>1</v>
      </c>
      <c r="G66" s="2"/>
    </row>
    <row r="67" spans="1:7">
      <c r="A67" t="s">
        <v>12</v>
      </c>
      <c r="B67">
        <v>1</v>
      </c>
      <c r="C67" s="11">
        <v>4.5454545454545455E-4</v>
      </c>
      <c r="D67">
        <v>1</v>
      </c>
      <c r="E67" s="2"/>
      <c r="F67">
        <v>0</v>
      </c>
      <c r="G67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86"/>
  <sheetViews>
    <sheetView zoomScale="85" zoomScaleNormal="85" zoomScalePageLayoutView="85" workbookViewId="0">
      <pane ySplit="1" topLeftCell="A165" activePane="bottomLeft" state="frozen"/>
      <selection activeCell="B1" sqref="B1"/>
      <selection pane="bottomLeft" activeCell="F188" sqref="F188"/>
    </sheetView>
  </sheetViews>
  <sheetFormatPr baseColWidth="10" defaultColWidth="11" defaultRowHeight="16"/>
  <cols>
    <col min="1" max="1" width="11.1640625" style="3" customWidth="1"/>
    <col min="2" max="2" width="12" style="3" customWidth="1"/>
    <col min="3" max="3" width="11" style="3" customWidth="1"/>
    <col min="4" max="5" width="16.6640625" style="4" customWidth="1"/>
    <col min="6" max="6" width="18.6640625" style="4" customWidth="1"/>
    <col min="7" max="7" width="35.1640625" style="3" customWidth="1"/>
    <col min="8" max="8" width="18" style="3" customWidth="1"/>
    <col min="9" max="10" width="11" style="3" customWidth="1"/>
    <col min="11" max="11" width="14.1640625" style="3" customWidth="1"/>
    <col min="12" max="13" width="11" style="3" customWidth="1"/>
    <col min="14" max="14" width="15.1640625" style="3" customWidth="1"/>
    <col min="15" max="15" width="11" style="3" customWidth="1"/>
    <col min="16" max="16" width="13.5" style="3" customWidth="1"/>
    <col min="17" max="22" width="16.83203125" style="3" customWidth="1"/>
    <col min="23" max="23" width="16.1640625" customWidth="1"/>
    <col min="24" max="24" width="11" customWidth="1"/>
    <col min="25" max="25" width="23.1640625" customWidth="1"/>
    <col min="26" max="26" width="11" customWidth="1"/>
    <col min="27" max="27" width="22.33203125" bestFit="1" customWidth="1"/>
  </cols>
  <sheetData>
    <row r="1" spans="1:32">
      <c r="A1" s="3" t="s">
        <v>0</v>
      </c>
      <c r="B1" s="3" t="s">
        <v>1</v>
      </c>
      <c r="C1" s="3" t="s">
        <v>2</v>
      </c>
      <c r="D1" s="4" t="s">
        <v>182</v>
      </c>
      <c r="E1" s="4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201</v>
      </c>
      <c r="Q1" s="3" t="s">
        <v>200</v>
      </c>
      <c r="R1" s="3" t="s">
        <v>249</v>
      </c>
      <c r="S1" s="3" t="s">
        <v>252</v>
      </c>
      <c r="T1" s="3" t="s">
        <v>253</v>
      </c>
      <c r="U1" s="3" t="s">
        <v>251</v>
      </c>
      <c r="V1" s="3" t="s">
        <v>250</v>
      </c>
      <c r="W1" t="s">
        <v>185</v>
      </c>
      <c r="Y1" t="s">
        <v>186</v>
      </c>
      <c r="AA1" t="s">
        <v>187</v>
      </c>
      <c r="AC1" t="s">
        <v>189</v>
      </c>
      <c r="AE1">
        <v>24</v>
      </c>
      <c r="AF1">
        <v>18</v>
      </c>
    </row>
    <row r="2" spans="1:32">
      <c r="A2" s="3">
        <v>1</v>
      </c>
      <c r="B2" s="5">
        <v>0.4758101851851852</v>
      </c>
      <c r="C2" s="5">
        <v>0.47600694444444441</v>
      </c>
      <c r="D2" s="7">
        <f>ORIG[[#This Row],[Exit Time]]-ORIG[[#This Row],[Entry Time]]</f>
        <v>1.96759259259216E-4</v>
      </c>
      <c r="E2" s="9">
        <f>ORIG[[#This Row],[Time Elapsed]]*24*60*60</f>
        <v>16.999999999996263</v>
      </c>
      <c r="F2" s="4">
        <f t="shared" ref="F2:F33" si="0">I2/E2</f>
        <v>1.4117647058826632</v>
      </c>
      <c r="G2" s="3" t="s">
        <v>235</v>
      </c>
      <c r="H2" s="3" t="s">
        <v>14</v>
      </c>
      <c r="I2" s="3">
        <f t="shared" ref="I2:I33" si="1">IF(H2="away", $AE$1, $AF$1)</f>
        <v>24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16</v>
      </c>
      <c r="O2" s="3" t="s">
        <v>17</v>
      </c>
      <c r="S2" s="3" t="str">
        <f>IF(ORIG[[#This Row],[Phone Follower]]="Y","Y","N")</f>
        <v>N</v>
      </c>
    </row>
    <row r="3" spans="1:32" hidden="1">
      <c r="A3" s="3">
        <v>2</v>
      </c>
      <c r="B3" s="5">
        <v>0.4758680555555555</v>
      </c>
      <c r="C3" s="5">
        <v>0.47597222222222224</v>
      </c>
      <c r="D3" s="7">
        <f>ORIG[[#This Row],[Exit Time]]-ORIG[[#This Row],[Entry Time]]</f>
        <v>1.0416666666673846E-4</v>
      </c>
      <c r="E3" s="9">
        <f>ORIG[[#This Row],[Time Elapsed]]*24*60*60</f>
        <v>9.000000000006203</v>
      </c>
      <c r="F3" s="4">
        <f t="shared" si="0"/>
        <v>1.9999999999986215</v>
      </c>
      <c r="G3" s="3" t="s">
        <v>50</v>
      </c>
      <c r="H3" s="3" t="s">
        <v>19</v>
      </c>
      <c r="I3" s="3">
        <f t="shared" si="1"/>
        <v>18</v>
      </c>
      <c r="J3" s="3" t="s">
        <v>15</v>
      </c>
      <c r="K3" s="3" t="s">
        <v>15</v>
      </c>
      <c r="L3" s="3" t="s">
        <v>15</v>
      </c>
      <c r="M3" s="3" t="s">
        <v>15</v>
      </c>
      <c r="N3" s="3" t="s">
        <v>15</v>
      </c>
      <c r="O3" s="3" t="s">
        <v>17</v>
      </c>
      <c r="R3" s="3" t="s">
        <v>15</v>
      </c>
      <c r="S3" s="3" t="str">
        <f>IF(ORIG[[#This Row],[Phone Follower]]="Y","Y","N")</f>
        <v>N</v>
      </c>
      <c r="T3" s="3" t="s">
        <v>15</v>
      </c>
    </row>
    <row r="4" spans="1:32">
      <c r="A4" s="3">
        <v>3</v>
      </c>
      <c r="B4" s="5">
        <v>0.47587962962962965</v>
      </c>
      <c r="C4" s="5">
        <v>0.47607638888888887</v>
      </c>
      <c r="D4" s="7">
        <f>ORIG[[#This Row],[Exit Time]]-ORIG[[#This Row],[Entry Time]]</f>
        <v>1.96759259259216E-4</v>
      </c>
      <c r="E4" s="9">
        <f>ORIG[[#This Row],[Time Elapsed]]*24*60*60</f>
        <v>16.999999999996263</v>
      </c>
      <c r="F4" s="4">
        <f t="shared" si="0"/>
        <v>1.4117647058826632</v>
      </c>
      <c r="G4" s="3" t="s">
        <v>229</v>
      </c>
      <c r="H4" s="3" t="s">
        <v>14</v>
      </c>
      <c r="I4" s="3">
        <f t="shared" si="1"/>
        <v>24</v>
      </c>
      <c r="J4" s="3" t="s">
        <v>15</v>
      </c>
      <c r="K4" s="3" t="s">
        <v>15</v>
      </c>
      <c r="L4" s="3" t="s">
        <v>15</v>
      </c>
      <c r="M4" s="3" t="s">
        <v>15</v>
      </c>
      <c r="N4" s="3" t="s">
        <v>16</v>
      </c>
      <c r="O4" s="3" t="s">
        <v>20</v>
      </c>
      <c r="S4" s="3" t="str">
        <f>IF(ORIG[[#This Row],[Phone Follower]]="Y","Y","N")</f>
        <v>N</v>
      </c>
    </row>
    <row r="5" spans="1:32">
      <c r="A5" s="3">
        <v>4</v>
      </c>
      <c r="B5" s="5">
        <v>0.47599537037037037</v>
      </c>
      <c r="C5" s="5">
        <v>0.47622685185185182</v>
      </c>
      <c r="D5" s="7">
        <f>ORIG[[#This Row],[Exit Time]]-ORIG[[#This Row],[Entry Time]]</f>
        <v>2.3148148148144365E-4</v>
      </c>
      <c r="E5" s="9">
        <f>ORIG[[#This Row],[Time Elapsed]]*24*60*60</f>
        <v>19.999999999996732</v>
      </c>
      <c r="F5" s="4">
        <f t="shared" si="0"/>
        <v>1.200000000000196</v>
      </c>
      <c r="G5" s="3" t="s">
        <v>230</v>
      </c>
      <c r="H5" s="3" t="s">
        <v>14</v>
      </c>
      <c r="I5" s="3">
        <f t="shared" si="1"/>
        <v>24</v>
      </c>
      <c r="J5" s="3" t="s">
        <v>15</v>
      </c>
      <c r="K5" s="3" t="s">
        <v>15</v>
      </c>
      <c r="L5" s="3" t="s">
        <v>15</v>
      </c>
      <c r="M5" s="3" t="s">
        <v>15</v>
      </c>
      <c r="N5" s="3" t="s">
        <v>15</v>
      </c>
      <c r="O5" s="3" t="s">
        <v>20</v>
      </c>
      <c r="S5" s="3" t="str">
        <f>IF(ORIG[[#This Row],[Phone Follower]]="Y","Y","N")</f>
        <v>N</v>
      </c>
    </row>
    <row r="6" spans="1:32" hidden="1">
      <c r="A6" s="3">
        <v>5</v>
      </c>
      <c r="B6" s="5">
        <v>0.47615740740740736</v>
      </c>
      <c r="C6" s="5">
        <v>0.47635416666666663</v>
      </c>
      <c r="D6" s="7">
        <f>ORIG[[#This Row],[Exit Time]]-ORIG[[#This Row],[Entry Time]]</f>
        <v>1.9675925925927151E-4</v>
      </c>
      <c r="E6" s="9">
        <f>ORIG[[#This Row],[Time Elapsed]]*24*60*60</f>
        <v>17.000000000001059</v>
      </c>
      <c r="F6" s="4">
        <f t="shared" si="0"/>
        <v>1.0588235294116988</v>
      </c>
      <c r="G6" s="3" t="s">
        <v>233</v>
      </c>
      <c r="H6" s="3" t="s">
        <v>19</v>
      </c>
      <c r="I6" s="3">
        <f t="shared" si="1"/>
        <v>18</v>
      </c>
      <c r="J6" s="3" t="s">
        <v>15</v>
      </c>
      <c r="K6" s="3" t="s">
        <v>16</v>
      </c>
      <c r="L6" s="3" t="s">
        <v>15</v>
      </c>
      <c r="M6" s="3" t="s">
        <v>16</v>
      </c>
      <c r="N6" s="3" t="s">
        <v>16</v>
      </c>
      <c r="O6" s="3" t="s">
        <v>17</v>
      </c>
      <c r="R6" s="3" t="str">
        <f>IF(ORIG[[#This Row],[using phone?]]="Y","N","Y")</f>
        <v>N</v>
      </c>
      <c r="S6" s="3" t="str">
        <f>IF(R3="Y","Y","N")</f>
        <v>N</v>
      </c>
      <c r="T6" s="3" t="str">
        <f>IF(S3="Y","Y","N")</f>
        <v>N</v>
      </c>
      <c r="Y6" t="s">
        <v>183</v>
      </c>
      <c r="Z6" s="1">
        <f>AVERAGE(F7:F16)</f>
        <v>1.4374082264484114</v>
      </c>
      <c r="AA6" s="1"/>
      <c r="AB6" s="1"/>
      <c r="AC6" s="1"/>
      <c r="AD6" s="1"/>
    </row>
    <row r="7" spans="1:32">
      <c r="A7" s="3">
        <v>6</v>
      </c>
      <c r="B7" s="5">
        <v>0.47619212962962965</v>
      </c>
      <c r="C7" s="5">
        <v>0.47637731481481477</v>
      </c>
      <c r="D7" s="7">
        <f>ORIG[[#This Row],[Exit Time]]-ORIG[[#This Row],[Entry Time]]</f>
        <v>1.8518518518512161E-4</v>
      </c>
      <c r="E7" s="9">
        <f>ORIG[[#This Row],[Time Elapsed]]*24*60*60</f>
        <v>15.999999999994508</v>
      </c>
      <c r="F7" s="4">
        <f t="shared" si="0"/>
        <v>1.5000000000005149</v>
      </c>
      <c r="G7" s="3" t="s">
        <v>236</v>
      </c>
      <c r="H7" s="3" t="s">
        <v>14</v>
      </c>
      <c r="I7" s="3">
        <f t="shared" si="1"/>
        <v>24</v>
      </c>
      <c r="J7" s="3" t="s">
        <v>15</v>
      </c>
      <c r="K7" s="3" t="s">
        <v>15</v>
      </c>
      <c r="L7" s="3" t="s">
        <v>15</v>
      </c>
      <c r="M7" s="3" t="s">
        <v>15</v>
      </c>
      <c r="N7" s="3" t="s">
        <v>15</v>
      </c>
      <c r="O7" s="3" t="s">
        <v>17</v>
      </c>
      <c r="S7" s="3" t="str">
        <f>IF(ORIG[[#This Row],[Phone Follower]]="Y","Y","N")</f>
        <v>N</v>
      </c>
    </row>
    <row r="8" spans="1:32" hidden="1">
      <c r="A8" s="3">
        <v>7</v>
      </c>
      <c r="B8" s="5">
        <v>0.47620370370370368</v>
      </c>
      <c r="C8" s="5">
        <v>0.47640046296296296</v>
      </c>
      <c r="D8" s="7">
        <f>ORIG[[#This Row],[Exit Time]]-ORIG[[#This Row],[Entry Time]]</f>
        <v>1.9675925925927151E-4</v>
      </c>
      <c r="E8" s="9">
        <f>ORIG[[#This Row],[Time Elapsed]]*24*60*60</f>
        <v>17.000000000001059</v>
      </c>
      <c r="F8" s="4">
        <f t="shared" si="0"/>
        <v>1.0588235294116988</v>
      </c>
      <c r="G8" s="3" t="s">
        <v>237</v>
      </c>
      <c r="H8" s="3" t="s">
        <v>19</v>
      </c>
      <c r="I8" s="3">
        <f t="shared" si="1"/>
        <v>18</v>
      </c>
      <c r="J8" s="3" t="s">
        <v>15</v>
      </c>
      <c r="K8" s="3" t="s">
        <v>16</v>
      </c>
      <c r="L8" s="3" t="s">
        <v>16</v>
      </c>
      <c r="M8" s="3" t="s">
        <v>15</v>
      </c>
      <c r="N8" s="3" t="s">
        <v>16</v>
      </c>
      <c r="O8" s="3" t="s">
        <v>20</v>
      </c>
      <c r="R8" s="3" t="str">
        <f>IF(ORIG[[#This Row],[using phone?]]="Y","N","Y")</f>
        <v>N</v>
      </c>
      <c r="S8" s="3" t="str">
        <f>IF(R5="Y","Y","N")</f>
        <v>N</v>
      </c>
      <c r="T8" s="3" t="str">
        <f>IF(S5="Y","Y","N")</f>
        <v>N</v>
      </c>
      <c r="W8" t="s">
        <v>183</v>
      </c>
      <c r="X8" s="1">
        <f>AVERAGE(F9:F18)</f>
        <v>1.4225973020786182</v>
      </c>
    </row>
    <row r="9" spans="1:32">
      <c r="A9" s="3">
        <v>8</v>
      </c>
      <c r="B9" s="5">
        <v>0.47627314814814814</v>
      </c>
      <c r="C9" s="5">
        <v>0.47643518518518518</v>
      </c>
      <c r="D9" s="7">
        <f>ORIG[[#This Row],[Exit Time]]-ORIG[[#This Row],[Entry Time]]</f>
        <v>1.6203703703704386E-4</v>
      </c>
      <c r="E9" s="9">
        <f>ORIG[[#This Row],[Time Elapsed]]*24*60*60</f>
        <v>14.00000000000059</v>
      </c>
      <c r="F9" s="4">
        <f t="shared" si="0"/>
        <v>1.714285714285642</v>
      </c>
      <c r="G9" s="3" t="s">
        <v>49</v>
      </c>
      <c r="H9" s="3" t="s">
        <v>14</v>
      </c>
      <c r="I9" s="3">
        <f t="shared" si="1"/>
        <v>24</v>
      </c>
      <c r="J9" s="3" t="s">
        <v>15</v>
      </c>
      <c r="K9" s="3" t="s">
        <v>15</v>
      </c>
      <c r="L9" s="3" t="s">
        <v>15</v>
      </c>
      <c r="M9" s="3" t="s">
        <v>15</v>
      </c>
      <c r="N9" s="3" t="s">
        <v>15</v>
      </c>
      <c r="O9" s="3" t="s">
        <v>20</v>
      </c>
      <c r="S9" s="3" t="str">
        <f>IF(ORIG[[#This Row],[Phone Follower]]="Y","Y","N")</f>
        <v>N</v>
      </c>
    </row>
    <row r="10" spans="1:32">
      <c r="A10" s="3">
        <v>9</v>
      </c>
      <c r="B10" s="5">
        <v>0.47629629629629627</v>
      </c>
      <c r="C10" s="5">
        <v>0.47649305555555554</v>
      </c>
      <c r="D10" s="7">
        <f>ORIG[[#This Row],[Exit Time]]-ORIG[[#This Row],[Entry Time]]</f>
        <v>1.9675925925927151E-4</v>
      </c>
      <c r="E10" s="9">
        <f>ORIG[[#This Row],[Time Elapsed]]*24*60*60</f>
        <v>17.000000000001059</v>
      </c>
      <c r="F10" s="4">
        <f t="shared" si="0"/>
        <v>1.4117647058822651</v>
      </c>
      <c r="G10" s="3" t="s">
        <v>48</v>
      </c>
      <c r="H10" s="3" t="s">
        <v>14</v>
      </c>
      <c r="I10" s="3">
        <f t="shared" si="1"/>
        <v>24</v>
      </c>
      <c r="J10" s="3" t="s">
        <v>15</v>
      </c>
      <c r="K10" s="3" t="s">
        <v>15</v>
      </c>
      <c r="L10" s="3" t="s">
        <v>15</v>
      </c>
      <c r="M10" s="3" t="s">
        <v>15</v>
      </c>
      <c r="N10" s="3" t="s">
        <v>15</v>
      </c>
      <c r="O10" s="3" t="s">
        <v>17</v>
      </c>
      <c r="S10" s="3" t="str">
        <f>IF(ORIG[[#This Row],[Phone Follower]]="Y","Y","N")</f>
        <v>N</v>
      </c>
    </row>
    <row r="11" spans="1:32" hidden="1">
      <c r="A11" s="3">
        <v>10</v>
      </c>
      <c r="B11" s="5">
        <v>0.47629629629629627</v>
      </c>
      <c r="C11" s="5">
        <v>0.47646990740740741</v>
      </c>
      <c r="D11" s="7">
        <f>ORIG[[#This Row],[Exit Time]]-ORIG[[#This Row],[Entry Time]]</f>
        <v>1.7361111111113825E-4</v>
      </c>
      <c r="E11" s="9">
        <f>ORIG[[#This Row],[Time Elapsed]]*24*60*60</f>
        <v>15.000000000002345</v>
      </c>
      <c r="F11" s="4">
        <f t="shared" si="0"/>
        <v>1.1999999999998123</v>
      </c>
      <c r="G11" s="3" t="s">
        <v>238</v>
      </c>
      <c r="H11" s="3" t="s">
        <v>19</v>
      </c>
      <c r="I11" s="3">
        <f t="shared" si="1"/>
        <v>18</v>
      </c>
      <c r="J11" s="3" t="s">
        <v>15</v>
      </c>
      <c r="K11" s="3" t="s">
        <v>15</v>
      </c>
      <c r="L11" s="3" t="s">
        <v>15</v>
      </c>
      <c r="M11" s="3" t="s">
        <v>15</v>
      </c>
      <c r="N11" s="3" t="s">
        <v>15</v>
      </c>
      <c r="O11" s="3" t="s">
        <v>17</v>
      </c>
      <c r="R11" s="3" t="str">
        <f>IF(ORIG[[#This Row],[using phone?]]="Y","N","Y")</f>
        <v>Y</v>
      </c>
      <c r="S11" s="3" t="str">
        <f>IF(R8="Y","Y","N")</f>
        <v>N</v>
      </c>
      <c r="T11" s="3" t="str">
        <f>IF(S8="Y","Y","N")</f>
        <v>N</v>
      </c>
    </row>
    <row r="12" spans="1:32">
      <c r="A12" s="3">
        <v>11</v>
      </c>
      <c r="B12" s="5">
        <v>0.4763310185185185</v>
      </c>
      <c r="C12" s="5">
        <v>0.47652777777777783</v>
      </c>
      <c r="D12" s="7">
        <f>ORIG[[#This Row],[Exit Time]]-ORIG[[#This Row],[Entry Time]]</f>
        <v>1.9675925925932702E-4</v>
      </c>
      <c r="E12" s="9">
        <f>ORIG[[#This Row],[Time Elapsed]]*24*60*60</f>
        <v>17.000000000005855</v>
      </c>
      <c r="F12" s="4">
        <f t="shared" si="0"/>
        <v>1.4117647058818668</v>
      </c>
      <c r="G12" s="3" t="s">
        <v>227</v>
      </c>
      <c r="H12" s="3" t="s">
        <v>14</v>
      </c>
      <c r="I12" s="3">
        <f t="shared" si="1"/>
        <v>24</v>
      </c>
      <c r="J12" s="3" t="s">
        <v>15</v>
      </c>
      <c r="K12" s="3" t="s">
        <v>15</v>
      </c>
      <c r="L12" s="3" t="s">
        <v>15</v>
      </c>
      <c r="M12" s="3" t="s">
        <v>15</v>
      </c>
      <c r="N12" s="3" t="s">
        <v>15</v>
      </c>
      <c r="O12" s="3" t="s">
        <v>20</v>
      </c>
      <c r="S12" s="3" t="str">
        <f>IF(ORIG[[#This Row],[Phone Follower]]="Y","Y","N")</f>
        <v>N</v>
      </c>
    </row>
    <row r="13" spans="1:32">
      <c r="A13" s="3">
        <v>12</v>
      </c>
      <c r="B13" s="5">
        <v>0.47640046296296296</v>
      </c>
      <c r="C13" s="5">
        <v>0.4765625</v>
      </c>
      <c r="D13" s="7">
        <f>ORIG[[#This Row],[Exit Time]]-ORIG[[#This Row],[Entry Time]]</f>
        <v>1.6203703703704386E-4</v>
      </c>
      <c r="E13" s="9">
        <f>ORIG[[#This Row],[Time Elapsed]]*24*60*60</f>
        <v>14.00000000000059</v>
      </c>
      <c r="F13" s="4">
        <f t="shared" si="0"/>
        <v>1.714285714285642</v>
      </c>
      <c r="G13" s="3" t="s">
        <v>47</v>
      </c>
      <c r="H13" s="3" t="s">
        <v>14</v>
      </c>
      <c r="I13" s="3">
        <f t="shared" si="1"/>
        <v>24</v>
      </c>
      <c r="J13" s="3" t="s">
        <v>15</v>
      </c>
      <c r="K13" s="3" t="s">
        <v>15</v>
      </c>
      <c r="L13" s="3" t="s">
        <v>15</v>
      </c>
      <c r="M13" s="3" t="s">
        <v>15</v>
      </c>
      <c r="N13" s="3" t="s">
        <v>15</v>
      </c>
      <c r="O13" s="3" t="s">
        <v>20</v>
      </c>
      <c r="S13" s="3" t="str">
        <f>IF(ORIG[[#This Row],[Phone Follower]]="Y","Y","N")</f>
        <v>N</v>
      </c>
    </row>
    <row r="14" spans="1:32">
      <c r="A14" s="3">
        <v>13</v>
      </c>
      <c r="B14" s="5">
        <v>0.47643518518518518</v>
      </c>
      <c r="C14" s="5">
        <v>0.47660879629629632</v>
      </c>
      <c r="D14" s="7">
        <f>ORIG[[#This Row],[Exit Time]]-ORIG[[#This Row],[Entry Time]]</f>
        <v>1.7361111111113825E-4</v>
      </c>
      <c r="E14" s="9">
        <f>ORIG[[#This Row],[Time Elapsed]]*24*60*60</f>
        <v>15.000000000002345</v>
      </c>
      <c r="F14" s="4">
        <f t="shared" si="0"/>
        <v>1.5999999999997498</v>
      </c>
      <c r="G14" s="3" t="s">
        <v>46</v>
      </c>
      <c r="H14" s="3" t="s">
        <v>14</v>
      </c>
      <c r="I14" s="3">
        <f t="shared" si="1"/>
        <v>24</v>
      </c>
      <c r="J14" s="3" t="s">
        <v>15</v>
      </c>
      <c r="K14" s="3" t="s">
        <v>15</v>
      </c>
      <c r="L14" s="3" t="s">
        <v>15</v>
      </c>
      <c r="M14" s="3" t="s">
        <v>15</v>
      </c>
      <c r="N14" s="3" t="s">
        <v>15</v>
      </c>
      <c r="O14" s="3" t="s">
        <v>20</v>
      </c>
      <c r="S14" s="3" t="str">
        <f>IF(ORIG[[#This Row],[Phone Follower]]="Y","Y","N")</f>
        <v>N</v>
      </c>
    </row>
    <row r="15" spans="1:32">
      <c r="A15" s="3">
        <v>14</v>
      </c>
      <c r="B15" s="5">
        <v>0.47650462962962964</v>
      </c>
      <c r="C15" s="5">
        <v>0.47672453703703704</v>
      </c>
      <c r="D15" s="7">
        <f>ORIG[[#This Row],[Exit Time]]-ORIG[[#This Row],[Entry Time]]</f>
        <v>2.1990740740740478E-4</v>
      </c>
      <c r="E15" s="9">
        <f>ORIG[[#This Row],[Time Elapsed]]*24*60*60</f>
        <v>18.999999999999773</v>
      </c>
      <c r="F15" s="4">
        <f t="shared" si="0"/>
        <v>1.2631578947368571</v>
      </c>
      <c r="G15" s="3" t="s">
        <v>228</v>
      </c>
      <c r="H15" s="3" t="s">
        <v>14</v>
      </c>
      <c r="I15" s="3">
        <f t="shared" si="1"/>
        <v>24</v>
      </c>
      <c r="J15" s="3" t="s">
        <v>15</v>
      </c>
      <c r="K15" s="3" t="s">
        <v>15</v>
      </c>
      <c r="L15" s="3" t="s">
        <v>15</v>
      </c>
      <c r="M15" s="3" t="s">
        <v>15</v>
      </c>
      <c r="N15" s="3" t="s">
        <v>15</v>
      </c>
      <c r="O15" s="3" t="s">
        <v>17</v>
      </c>
      <c r="S15" s="3" t="str">
        <f>IF(ORIG[[#This Row],[Phone Follower]]="Y","Y","N")</f>
        <v>N</v>
      </c>
    </row>
    <row r="16" spans="1:32">
      <c r="A16" s="3">
        <v>15</v>
      </c>
      <c r="B16" s="5">
        <v>0.47653935185185187</v>
      </c>
      <c r="C16" s="5">
        <v>0.47672453703703704</v>
      </c>
      <c r="D16" s="7">
        <f>ORIG[[#This Row],[Exit Time]]-ORIG[[#This Row],[Entry Time]]</f>
        <v>1.8518518518517713E-4</v>
      </c>
      <c r="E16" s="9">
        <f>ORIG[[#This Row],[Time Elapsed]]*24*60*60</f>
        <v>15.999999999999304</v>
      </c>
      <c r="F16" s="4">
        <f t="shared" si="0"/>
        <v>1.5000000000000653</v>
      </c>
      <c r="G16" s="3" t="s">
        <v>239</v>
      </c>
      <c r="H16" s="3" t="s">
        <v>14</v>
      </c>
      <c r="I16" s="3">
        <f t="shared" si="1"/>
        <v>24</v>
      </c>
      <c r="J16" s="3" t="s">
        <v>15</v>
      </c>
      <c r="K16" s="3" t="s">
        <v>15</v>
      </c>
      <c r="L16" s="3" t="s">
        <v>15</v>
      </c>
      <c r="M16" s="3" t="s">
        <v>15</v>
      </c>
      <c r="N16" s="3" t="s">
        <v>15</v>
      </c>
      <c r="O16" s="3" t="s">
        <v>17</v>
      </c>
      <c r="S16" s="3" t="str">
        <f>IF(ORIG[[#This Row],[Phone Follower]]="Y","Y","N")</f>
        <v>N</v>
      </c>
    </row>
    <row r="17" spans="1:28" hidden="1">
      <c r="A17" s="3">
        <v>16</v>
      </c>
      <c r="B17" s="5">
        <v>0.47653935185185187</v>
      </c>
      <c r="C17" s="5">
        <v>0.47670138888888891</v>
      </c>
      <c r="D17" s="7">
        <f>ORIG[[#This Row],[Exit Time]]-ORIG[[#This Row],[Entry Time]]</f>
        <v>1.6203703703704386E-4</v>
      </c>
      <c r="E17" s="9">
        <f>ORIG[[#This Row],[Time Elapsed]]*24*60*60</f>
        <v>14.00000000000059</v>
      </c>
      <c r="F17" s="4">
        <f t="shared" si="0"/>
        <v>1.2857142857142316</v>
      </c>
      <c r="G17" s="3" t="s">
        <v>240</v>
      </c>
      <c r="H17" s="3" t="s">
        <v>19</v>
      </c>
      <c r="I17" s="3">
        <f t="shared" si="1"/>
        <v>18</v>
      </c>
      <c r="J17" s="3" t="s">
        <v>15</v>
      </c>
      <c r="K17" s="3" t="s">
        <v>15</v>
      </c>
      <c r="L17" s="3" t="s">
        <v>15</v>
      </c>
      <c r="M17" s="3" t="s">
        <v>15</v>
      </c>
      <c r="N17" s="3" t="s">
        <v>15</v>
      </c>
      <c r="O17" s="3" t="s">
        <v>17</v>
      </c>
      <c r="R17" s="3" t="str">
        <f>IF(ORIG[[#This Row],[using phone?]]="Y","N","Y")</f>
        <v>Y</v>
      </c>
      <c r="S17" s="3" t="str">
        <f>IF(R14="Y","Y","N")</f>
        <v>N</v>
      </c>
      <c r="T17" s="3" t="str">
        <f>IF(S14="Y","Y","N")</f>
        <v>N</v>
      </c>
    </row>
    <row r="18" spans="1:28" hidden="1">
      <c r="A18" s="3">
        <v>17</v>
      </c>
      <c r="B18" s="5">
        <v>0.47653935185185187</v>
      </c>
      <c r="C18" s="5">
        <v>0.47672453703703704</v>
      </c>
      <c r="D18" s="7">
        <f>ORIG[[#This Row],[Exit Time]]-ORIG[[#This Row],[Entry Time]]</f>
        <v>1.8518518518517713E-4</v>
      </c>
      <c r="E18" s="9">
        <f>ORIG[[#This Row],[Time Elapsed]]*24*60*60</f>
        <v>15.999999999999304</v>
      </c>
      <c r="F18" s="4">
        <f t="shared" si="0"/>
        <v>1.1250000000000488</v>
      </c>
      <c r="G18" s="3" t="s">
        <v>45</v>
      </c>
      <c r="H18" s="3" t="s">
        <v>19</v>
      </c>
      <c r="I18" s="3">
        <f t="shared" si="1"/>
        <v>18</v>
      </c>
      <c r="J18" s="3" t="s">
        <v>15</v>
      </c>
      <c r="K18" s="3" t="s">
        <v>15</v>
      </c>
      <c r="L18" s="3" t="s">
        <v>15</v>
      </c>
      <c r="M18" s="3" t="s">
        <v>15</v>
      </c>
      <c r="N18" s="3" t="s">
        <v>16</v>
      </c>
      <c r="O18" s="3" t="s">
        <v>17</v>
      </c>
      <c r="R18" s="3" t="str">
        <f>IF(ORIG[[#This Row],[using phone?]]="Y","N","Y")</f>
        <v>Y</v>
      </c>
      <c r="S18" s="3" t="str">
        <f>IF(R15="Y","Y","N")</f>
        <v>N</v>
      </c>
      <c r="T18" s="3" t="str">
        <f>IF(S15="Y","Y","N")</f>
        <v>N</v>
      </c>
    </row>
    <row r="19" spans="1:28">
      <c r="A19" s="3">
        <v>18</v>
      </c>
      <c r="B19" s="5">
        <v>0.47666666666666663</v>
      </c>
      <c r="C19" s="5">
        <v>0.4768634259259259</v>
      </c>
      <c r="D19" s="7">
        <f>ORIG[[#This Row],[Exit Time]]-ORIG[[#This Row],[Entry Time]]</f>
        <v>1.9675925925927151E-4</v>
      </c>
      <c r="E19" s="9">
        <f>ORIG[[#This Row],[Time Elapsed]]*24*60*60</f>
        <v>17.000000000001059</v>
      </c>
      <c r="F19" s="4">
        <f t="shared" si="0"/>
        <v>1.4117647058822651</v>
      </c>
      <c r="G19" s="3" t="s">
        <v>241</v>
      </c>
      <c r="H19" s="3" t="s">
        <v>14</v>
      </c>
      <c r="I19" s="3">
        <f t="shared" si="1"/>
        <v>24</v>
      </c>
      <c r="J19" s="3" t="s">
        <v>15</v>
      </c>
      <c r="K19" s="3" t="s">
        <v>15</v>
      </c>
      <c r="L19" s="3" t="s">
        <v>15</v>
      </c>
      <c r="M19" s="3" t="s">
        <v>15</v>
      </c>
      <c r="N19" s="3" t="s">
        <v>15</v>
      </c>
      <c r="O19" s="3" t="s">
        <v>20</v>
      </c>
      <c r="S19" s="3" t="str">
        <f>IF(ORIG[[#This Row],[Phone Follower]]="Y","Y","N")</f>
        <v>N</v>
      </c>
    </row>
    <row r="20" spans="1:28" hidden="1">
      <c r="A20" s="3">
        <v>19</v>
      </c>
      <c r="B20" s="5">
        <v>0.47672453703703704</v>
      </c>
      <c r="C20" s="5">
        <v>0.47685185185185186</v>
      </c>
      <c r="D20" s="7">
        <f>ORIG[[#This Row],[Exit Time]]-ORIG[[#This Row],[Entry Time]]</f>
        <v>1.2731481481481621E-4</v>
      </c>
      <c r="E20" s="9">
        <f>ORIG[[#This Row],[Time Elapsed]]*24*60*60</f>
        <v>11.000000000000121</v>
      </c>
      <c r="F20" s="4">
        <f t="shared" si="0"/>
        <v>1.6363636363636185</v>
      </c>
      <c r="G20" s="3" t="s">
        <v>242</v>
      </c>
      <c r="H20" s="3" t="s">
        <v>19</v>
      </c>
      <c r="I20" s="3">
        <f t="shared" si="1"/>
        <v>18</v>
      </c>
      <c r="J20" s="3" t="s">
        <v>15</v>
      </c>
      <c r="K20" s="3" t="s">
        <v>15</v>
      </c>
      <c r="L20" s="3" t="s">
        <v>15</v>
      </c>
      <c r="M20" s="3" t="s">
        <v>15</v>
      </c>
      <c r="N20" s="3" t="s">
        <v>15</v>
      </c>
      <c r="O20" s="3" t="s">
        <v>20</v>
      </c>
      <c r="R20" s="3" t="str">
        <f>IF(ORIG[[#This Row],[using phone?]]="Y","N","Y")</f>
        <v>Y</v>
      </c>
      <c r="S20" s="3" t="str">
        <f>IF(R17="Y","Y","N")</f>
        <v>Y</v>
      </c>
      <c r="T20" s="3" t="str">
        <f>IF(S17="Y","Y","N")</f>
        <v>N</v>
      </c>
    </row>
    <row r="21" spans="1:28">
      <c r="A21" s="3">
        <v>20</v>
      </c>
      <c r="B21" s="5">
        <v>0.47672453703703704</v>
      </c>
      <c r="C21" s="5">
        <v>0.47692129629629632</v>
      </c>
      <c r="D21" s="7">
        <f>ORIG[[#This Row],[Exit Time]]-ORIG[[#This Row],[Entry Time]]</f>
        <v>1.9675925925927151E-4</v>
      </c>
      <c r="E21" s="9">
        <f>ORIG[[#This Row],[Time Elapsed]]*24*60*60</f>
        <v>17.000000000001059</v>
      </c>
      <c r="F21" s="4">
        <f t="shared" si="0"/>
        <v>1.4117647058822651</v>
      </c>
      <c r="G21" s="3" t="s">
        <v>243</v>
      </c>
      <c r="H21" s="3" t="s">
        <v>14</v>
      </c>
      <c r="I21" s="3">
        <f t="shared" si="1"/>
        <v>24</v>
      </c>
      <c r="J21" s="3" t="s">
        <v>15</v>
      </c>
      <c r="K21" s="3" t="s">
        <v>16</v>
      </c>
      <c r="L21" s="3" t="s">
        <v>16</v>
      </c>
      <c r="M21" s="3" t="s">
        <v>15</v>
      </c>
      <c r="N21" s="3" t="s">
        <v>16</v>
      </c>
      <c r="O21" s="3" t="s">
        <v>20</v>
      </c>
      <c r="S21" s="3" t="str">
        <f>IF(ORIG[[#This Row],[Phone Follower]]="Y","Y","N")</f>
        <v>N</v>
      </c>
      <c r="W21" t="s">
        <v>183</v>
      </c>
      <c r="X21" s="1">
        <f>AVERAGE(F22:F31)</f>
        <v>1.2964198958936985</v>
      </c>
    </row>
    <row r="22" spans="1:28">
      <c r="A22" s="3">
        <v>21</v>
      </c>
      <c r="B22" s="5">
        <v>0.4768634259259259</v>
      </c>
      <c r="C22" s="5">
        <v>0.4770949074074074</v>
      </c>
      <c r="D22" s="7">
        <f>ORIG[[#This Row],[Exit Time]]-ORIG[[#This Row],[Entry Time]]</f>
        <v>2.3148148148149916E-4</v>
      </c>
      <c r="E22" s="9">
        <f>ORIG[[#This Row],[Time Elapsed]]*24*60*60</f>
        <v>20.000000000001528</v>
      </c>
      <c r="F22" s="4">
        <f t="shared" si="0"/>
        <v>1.1999999999999083</v>
      </c>
      <c r="G22" s="3" t="s">
        <v>244</v>
      </c>
      <c r="H22" s="3" t="s">
        <v>14</v>
      </c>
      <c r="I22" s="3">
        <f t="shared" si="1"/>
        <v>24</v>
      </c>
      <c r="J22" s="3" t="s">
        <v>15</v>
      </c>
      <c r="K22" s="3" t="s">
        <v>16</v>
      </c>
      <c r="L22" s="3" t="s">
        <v>16</v>
      </c>
      <c r="M22" s="3" t="s">
        <v>15</v>
      </c>
      <c r="N22" s="3" t="s">
        <v>16</v>
      </c>
      <c r="O22" s="3" t="s">
        <v>17</v>
      </c>
      <c r="P22" s="3" t="s">
        <v>16</v>
      </c>
      <c r="S22" s="3" t="str">
        <f>IF(ORIG[[#This Row],[Phone Follower]]="Y","Y","N")</f>
        <v>N</v>
      </c>
      <c r="W22" t="s">
        <v>183</v>
      </c>
      <c r="X22" s="1">
        <f>AVERAGE(F23:F32)</f>
        <v>1.2964198958937274</v>
      </c>
    </row>
    <row r="23" spans="1:28">
      <c r="A23" s="3">
        <v>22</v>
      </c>
      <c r="B23" s="5">
        <v>0.51853009259259297</v>
      </c>
      <c r="C23" s="5">
        <v>0.51876157407407397</v>
      </c>
      <c r="D23" s="7">
        <f>ORIG[[#This Row],[Exit Time]]-ORIG[[#This Row],[Entry Time]]</f>
        <v>2.3148148148099956E-4</v>
      </c>
      <c r="E23" s="9">
        <f>ORIG[[#This Row],[Time Elapsed]]*24*60*60</f>
        <v>19.999999999958362</v>
      </c>
      <c r="F23" s="4">
        <f t="shared" si="0"/>
        <v>1.2000000000024982</v>
      </c>
      <c r="G23" s="3" t="s">
        <v>245</v>
      </c>
      <c r="H23" s="3" t="s">
        <v>14</v>
      </c>
      <c r="I23" s="3">
        <f t="shared" si="1"/>
        <v>24</v>
      </c>
      <c r="J23" s="3" t="s">
        <v>15</v>
      </c>
      <c r="K23" s="3" t="s">
        <v>15</v>
      </c>
      <c r="L23" s="3" t="s">
        <v>15</v>
      </c>
      <c r="M23" s="3" t="s">
        <v>15</v>
      </c>
      <c r="N23" s="3" t="s">
        <v>15</v>
      </c>
      <c r="O23" s="3" t="s">
        <v>20</v>
      </c>
      <c r="Q23" s="3">
        <v>21</v>
      </c>
      <c r="S23" s="3" t="str">
        <f>IF(ORIG[[#This Row],[Phone Follower]]="Y","Y","N")</f>
        <v>N</v>
      </c>
    </row>
    <row r="24" spans="1:28" hidden="1">
      <c r="A24" s="3">
        <v>23</v>
      </c>
      <c r="B24" s="5">
        <v>0.47692129629629632</v>
      </c>
      <c r="C24" s="5">
        <v>0.4770833333333333</v>
      </c>
      <c r="D24" s="7">
        <f>ORIG[[#This Row],[Exit Time]]-ORIG[[#This Row],[Entry Time]]</f>
        <v>1.6203703703698835E-4</v>
      </c>
      <c r="E24" s="9">
        <f>ORIG[[#This Row],[Time Elapsed]]*24*60*60</f>
        <v>13.999999999995794</v>
      </c>
      <c r="F24" s="4">
        <f t="shared" si="0"/>
        <v>1.2857142857146719</v>
      </c>
      <c r="G24" s="3" t="s">
        <v>45</v>
      </c>
      <c r="H24" s="3" t="s">
        <v>19</v>
      </c>
      <c r="I24" s="3">
        <f t="shared" si="1"/>
        <v>18</v>
      </c>
      <c r="J24" s="3" t="s">
        <v>15</v>
      </c>
      <c r="K24" s="3" t="s">
        <v>15</v>
      </c>
      <c r="L24" s="3" t="s">
        <v>15</v>
      </c>
      <c r="M24" s="3" t="s">
        <v>15</v>
      </c>
      <c r="N24" s="3" t="s">
        <v>15</v>
      </c>
      <c r="O24" s="3" t="s">
        <v>17</v>
      </c>
      <c r="R24" s="3" t="str">
        <f>IF(ORIG[[#This Row],[using phone?]]="Y","N","Y")</f>
        <v>Y</v>
      </c>
      <c r="S24" s="3" t="str">
        <f>IF(R21="Y","Y","N")</f>
        <v>N</v>
      </c>
      <c r="T24" s="3" t="str">
        <f>IF(S21="Y","Y","N")</f>
        <v>N</v>
      </c>
    </row>
    <row r="25" spans="1:28">
      <c r="A25" s="3">
        <v>24</v>
      </c>
      <c r="B25" s="5">
        <v>0.47672453703703704</v>
      </c>
      <c r="C25" s="5">
        <v>0.47689814814814818</v>
      </c>
      <c r="D25" s="7">
        <f>ORIG[[#This Row],[Exit Time]]-ORIG[[#This Row],[Entry Time]]</f>
        <v>1.7361111111113825E-4</v>
      </c>
      <c r="E25" s="9">
        <f>ORIG[[#This Row],[Time Elapsed]]*24*60*60</f>
        <v>15.000000000002345</v>
      </c>
      <c r="F25" s="4">
        <f t="shared" si="0"/>
        <v>1.5999999999997498</v>
      </c>
      <c r="G25" s="3" t="s">
        <v>44</v>
      </c>
      <c r="H25" s="3" t="s">
        <v>14</v>
      </c>
      <c r="I25" s="3">
        <f t="shared" si="1"/>
        <v>24</v>
      </c>
      <c r="J25" s="3" t="s">
        <v>15</v>
      </c>
      <c r="K25" s="3" t="s">
        <v>15</v>
      </c>
      <c r="L25" s="3" t="s">
        <v>15</v>
      </c>
      <c r="M25" s="3" t="s">
        <v>15</v>
      </c>
      <c r="N25" s="3" t="s">
        <v>15</v>
      </c>
      <c r="O25" s="3" t="s">
        <v>20</v>
      </c>
      <c r="S25" s="3" t="str">
        <f>IF(ORIG[[#This Row],[Phone Follower]]="Y","Y","N")</f>
        <v>N</v>
      </c>
    </row>
    <row r="26" spans="1:28">
      <c r="A26" s="3">
        <v>25</v>
      </c>
      <c r="B26" s="5">
        <v>0.47696759259259264</v>
      </c>
      <c r="C26" s="5">
        <v>0.47718750000000004</v>
      </c>
      <c r="D26" s="7">
        <f>ORIG[[#This Row],[Exit Time]]-ORIG[[#This Row],[Entry Time]]</f>
        <v>2.1990740740740478E-4</v>
      </c>
      <c r="E26" s="9">
        <f>ORIG[[#This Row],[Time Elapsed]]*24*60*60</f>
        <v>18.999999999999773</v>
      </c>
      <c r="F26" s="4">
        <f t="shared" si="0"/>
        <v>1.2631578947368571</v>
      </c>
      <c r="G26" s="3" t="s">
        <v>43</v>
      </c>
      <c r="H26" s="3" t="s">
        <v>14</v>
      </c>
      <c r="I26" s="3">
        <f t="shared" si="1"/>
        <v>24</v>
      </c>
      <c r="J26" s="3" t="s">
        <v>15</v>
      </c>
      <c r="K26" s="3" t="s">
        <v>15</v>
      </c>
      <c r="L26" s="3" t="s">
        <v>15</v>
      </c>
      <c r="M26" s="3" t="s">
        <v>15</v>
      </c>
      <c r="N26" s="3" t="s">
        <v>15</v>
      </c>
      <c r="O26" s="3" t="s">
        <v>17</v>
      </c>
      <c r="S26" s="3" t="str">
        <f>IF(ORIG[[#This Row],[Phone Follower]]="Y","Y","N")</f>
        <v>N</v>
      </c>
    </row>
    <row r="27" spans="1:28">
      <c r="A27" s="3">
        <v>26</v>
      </c>
      <c r="B27" s="5">
        <v>0.4770138888888889</v>
      </c>
      <c r="C27" s="5">
        <v>0.4772569444444445</v>
      </c>
      <c r="D27" s="7">
        <f>ORIG[[#This Row],[Exit Time]]-ORIG[[#This Row],[Entry Time]]</f>
        <v>2.4305555555559355E-4</v>
      </c>
      <c r="E27" s="9">
        <f>ORIG[[#This Row],[Time Elapsed]]*24*60*60</f>
        <v>21.000000000003283</v>
      </c>
      <c r="F27" s="4">
        <f t="shared" si="0"/>
        <v>1.1428571428569643</v>
      </c>
      <c r="G27" s="3" t="s">
        <v>246</v>
      </c>
      <c r="H27" s="3" t="s">
        <v>14</v>
      </c>
      <c r="I27" s="3">
        <f t="shared" si="1"/>
        <v>24</v>
      </c>
      <c r="J27" s="3" t="s">
        <v>15</v>
      </c>
      <c r="K27" s="3" t="s">
        <v>16</v>
      </c>
      <c r="L27" s="3" t="s">
        <v>16</v>
      </c>
      <c r="M27" s="3" t="s">
        <v>15</v>
      </c>
      <c r="N27" s="3" t="s">
        <v>16</v>
      </c>
      <c r="O27" s="3" t="s">
        <v>20</v>
      </c>
      <c r="S27" s="3" t="str">
        <f>IF(ORIG[[#This Row],[Phone Follower]]="Y","Y","N")</f>
        <v>N</v>
      </c>
      <c r="W27" t="s">
        <v>183</v>
      </c>
      <c r="X27" s="1">
        <f>AVERAGE(F28:F37)</f>
        <v>1.2684426157365845</v>
      </c>
    </row>
    <row r="28" spans="1:28">
      <c r="A28" s="3">
        <v>27</v>
      </c>
      <c r="B28" s="5">
        <v>0.47703703703703698</v>
      </c>
      <c r="C28" s="5">
        <v>0.4772569444444445</v>
      </c>
      <c r="D28" s="7">
        <f>ORIG[[#This Row],[Exit Time]]-ORIG[[#This Row],[Entry Time]]</f>
        <v>2.199074074075158E-4</v>
      </c>
      <c r="E28" s="9">
        <f>ORIG[[#This Row],[Time Elapsed]]*24*60*60</f>
        <v>19.000000000009365</v>
      </c>
      <c r="F28" s="4">
        <f t="shared" si="0"/>
        <v>1.2631578947362194</v>
      </c>
      <c r="G28" s="3" t="s">
        <v>41</v>
      </c>
      <c r="H28" s="3" t="s">
        <v>14</v>
      </c>
      <c r="I28" s="3">
        <f t="shared" si="1"/>
        <v>24</v>
      </c>
      <c r="J28" s="3" t="s">
        <v>15</v>
      </c>
      <c r="K28" s="3" t="s">
        <v>42</v>
      </c>
      <c r="L28" s="3" t="s">
        <v>15</v>
      </c>
      <c r="M28" s="3" t="s">
        <v>15</v>
      </c>
      <c r="N28" s="3" t="s">
        <v>15</v>
      </c>
      <c r="O28" s="3" t="s">
        <v>20</v>
      </c>
      <c r="S28" s="3" t="str">
        <f>IF(ORIG[[#This Row],[Phone Follower]]="Y","Y","N")</f>
        <v>N</v>
      </c>
    </row>
    <row r="29" spans="1:28">
      <c r="A29" s="3">
        <v>28</v>
      </c>
      <c r="B29" s="5">
        <v>0.4770949074074074</v>
      </c>
      <c r="C29" s="5">
        <v>0.4773148148148148</v>
      </c>
      <c r="D29" s="7">
        <f>ORIG[[#This Row],[Exit Time]]-ORIG[[#This Row],[Entry Time]]</f>
        <v>2.1990740740740478E-4</v>
      </c>
      <c r="E29" s="9">
        <f>ORIG[[#This Row],[Time Elapsed]]*24*60*60</f>
        <v>18.999999999999773</v>
      </c>
      <c r="F29" s="4">
        <f t="shared" si="0"/>
        <v>1.2631578947368571</v>
      </c>
      <c r="G29" s="3" t="s">
        <v>247</v>
      </c>
      <c r="H29" s="3" t="s">
        <v>14</v>
      </c>
      <c r="I29" s="3">
        <f t="shared" si="1"/>
        <v>24</v>
      </c>
      <c r="J29" s="3" t="s">
        <v>15</v>
      </c>
      <c r="K29" s="3" t="s">
        <v>15</v>
      </c>
      <c r="L29" s="3" t="s">
        <v>15</v>
      </c>
      <c r="M29" s="3" t="s">
        <v>15</v>
      </c>
      <c r="N29" s="3" t="s">
        <v>15</v>
      </c>
      <c r="O29" s="3" t="s">
        <v>20</v>
      </c>
      <c r="P29" s="3" t="s">
        <v>16</v>
      </c>
      <c r="S29" s="3" t="str">
        <f>IF(ORIG[[#This Row],[Phone Follower]]="Y","Y","N")</f>
        <v>N</v>
      </c>
    </row>
    <row r="30" spans="1:28">
      <c r="A30" s="3">
        <v>29</v>
      </c>
      <c r="B30" s="5">
        <v>0.47712962962962963</v>
      </c>
      <c r="C30" s="5">
        <v>0.47728009259259263</v>
      </c>
      <c r="D30" s="7">
        <f>ORIG[[#This Row],[Exit Time]]-ORIG[[#This Row],[Entry Time]]</f>
        <v>1.5046296296300499E-4</v>
      </c>
      <c r="E30" s="9">
        <f>ORIG[[#This Row],[Time Elapsed]]*24*60*60</f>
        <v>13.000000000003631</v>
      </c>
      <c r="F30" s="4">
        <f t="shared" si="0"/>
        <v>1.8461538461533304</v>
      </c>
      <c r="G30" s="3" t="s">
        <v>234</v>
      </c>
      <c r="H30" s="3" t="s">
        <v>14</v>
      </c>
      <c r="I30" s="3">
        <f t="shared" si="1"/>
        <v>24</v>
      </c>
      <c r="J30" s="3" t="s">
        <v>15</v>
      </c>
      <c r="K30" s="3" t="s">
        <v>15</v>
      </c>
      <c r="L30" s="3" t="s">
        <v>15</v>
      </c>
      <c r="M30" s="3" t="s">
        <v>15</v>
      </c>
      <c r="N30" s="3" t="s">
        <v>15</v>
      </c>
      <c r="O30" s="3" t="s">
        <v>20</v>
      </c>
      <c r="Q30" s="3">
        <v>28</v>
      </c>
      <c r="S30" s="3" t="str">
        <f>IF(ORIG[[#This Row],[Phone Follower]]="Y","Y","N")</f>
        <v>N</v>
      </c>
    </row>
    <row r="31" spans="1:28" hidden="1">
      <c r="A31" s="3">
        <v>30</v>
      </c>
      <c r="B31" s="5">
        <v>0.47722222222222221</v>
      </c>
      <c r="C31" s="5">
        <v>0.47745370370370371</v>
      </c>
      <c r="D31" s="7">
        <f>ORIG[[#This Row],[Exit Time]]-ORIG[[#This Row],[Entry Time]]</f>
        <v>2.3148148148149916E-4</v>
      </c>
      <c r="E31" s="9">
        <f>ORIG[[#This Row],[Time Elapsed]]*24*60*60</f>
        <v>20.000000000001528</v>
      </c>
      <c r="F31" s="4">
        <f t="shared" si="0"/>
        <v>0.8999999999999313</v>
      </c>
      <c r="G31" s="3" t="s">
        <v>40</v>
      </c>
      <c r="H31" s="3" t="s">
        <v>19</v>
      </c>
      <c r="I31" s="3">
        <f t="shared" si="1"/>
        <v>18</v>
      </c>
      <c r="J31" s="3" t="s">
        <v>16</v>
      </c>
      <c r="K31" s="3" t="s">
        <v>15</v>
      </c>
      <c r="L31" s="3" t="s">
        <v>15</v>
      </c>
      <c r="M31" s="3" t="s">
        <v>15</v>
      </c>
      <c r="N31" s="3" t="s">
        <v>15</v>
      </c>
      <c r="O31" s="3" t="s">
        <v>20</v>
      </c>
      <c r="R31" s="3" t="str">
        <f>IF(ORIG[[#This Row],[using phone?]]="Y","N","Y")</f>
        <v>Y</v>
      </c>
      <c r="S31" s="3" t="str">
        <f>IF(R28="Y","Y","N")</f>
        <v>N</v>
      </c>
      <c r="T31" s="3" t="str">
        <f>IF(S28="Y","Y","N")</f>
        <v>N</v>
      </c>
      <c r="AA31" t="s">
        <v>183</v>
      </c>
      <c r="AB31" s="1">
        <f>AVERAGE(F32:F41)</f>
        <v>1.343827231121449</v>
      </c>
    </row>
    <row r="32" spans="1:28" hidden="1">
      <c r="A32" s="3">
        <v>31</v>
      </c>
      <c r="B32" s="5">
        <v>0.47728009259259263</v>
      </c>
      <c r="C32" s="5">
        <v>0.47745370370370371</v>
      </c>
      <c r="D32" s="7">
        <f>ORIG[[#This Row],[Exit Time]]-ORIG[[#This Row],[Entry Time]]</f>
        <v>1.7361111111108274E-4</v>
      </c>
      <c r="E32" s="9">
        <f>ORIG[[#This Row],[Time Elapsed]]*24*60*60</f>
        <v>14.999999999997549</v>
      </c>
      <c r="F32" s="4">
        <f t="shared" si="0"/>
        <v>1.200000000000196</v>
      </c>
      <c r="G32" s="3" t="s">
        <v>39</v>
      </c>
      <c r="H32" s="3" t="s">
        <v>19</v>
      </c>
      <c r="I32" s="3">
        <f t="shared" si="1"/>
        <v>18</v>
      </c>
      <c r="J32" s="3" t="s">
        <v>16</v>
      </c>
      <c r="K32" s="3" t="s">
        <v>15</v>
      </c>
      <c r="L32" s="3" t="s">
        <v>15</v>
      </c>
      <c r="M32" s="3" t="s">
        <v>15</v>
      </c>
      <c r="N32" s="3" t="s">
        <v>15</v>
      </c>
      <c r="O32" s="3" t="s">
        <v>17</v>
      </c>
      <c r="R32" s="3" t="str">
        <f>IF(ORIG[[#This Row],[using phone?]]="Y","N","Y")</f>
        <v>Y</v>
      </c>
      <c r="S32" s="3" t="str">
        <f>IF(R29="Y","Y","N")</f>
        <v>N</v>
      </c>
      <c r="T32" s="3" t="str">
        <f>IF(S29="Y","Y","N")</f>
        <v>N</v>
      </c>
      <c r="AA32" t="s">
        <v>183</v>
      </c>
      <c r="AB32" s="1">
        <f>AVERAGE(F33:F42)</f>
        <v>1.3738272311214359</v>
      </c>
    </row>
    <row r="33" spans="1:28">
      <c r="A33" s="3">
        <v>32</v>
      </c>
      <c r="B33" s="5">
        <v>0.47729166666666667</v>
      </c>
      <c r="C33" s="5">
        <v>0.47745370370370371</v>
      </c>
      <c r="D33" s="7">
        <f>ORIG[[#This Row],[Exit Time]]-ORIG[[#This Row],[Entry Time]]</f>
        <v>1.6203703703704386E-4</v>
      </c>
      <c r="E33" s="9">
        <f>ORIG[[#This Row],[Time Elapsed]]*24*60*60</f>
        <v>14.00000000000059</v>
      </c>
      <c r="F33" s="4">
        <f t="shared" si="0"/>
        <v>1.714285714285642</v>
      </c>
      <c r="G33" s="3" t="s">
        <v>121</v>
      </c>
      <c r="H33" s="3" t="s">
        <v>14</v>
      </c>
      <c r="I33" s="3">
        <f t="shared" si="1"/>
        <v>24</v>
      </c>
      <c r="J33" s="3" t="s">
        <v>15</v>
      </c>
      <c r="K33" s="3" t="s">
        <v>15</v>
      </c>
      <c r="L33" s="3" t="s">
        <v>15</v>
      </c>
      <c r="M33" s="3" t="s">
        <v>15</v>
      </c>
      <c r="N33" s="3" t="s">
        <v>15</v>
      </c>
      <c r="O33" s="3" t="s">
        <v>20</v>
      </c>
      <c r="S33" s="3" t="str">
        <f>IF(ORIG[[#This Row],[Phone Follower]]="Y","Y","N")</f>
        <v>N</v>
      </c>
    </row>
    <row r="34" spans="1:28">
      <c r="A34" s="3">
        <v>33</v>
      </c>
      <c r="B34" s="5">
        <v>0.47732638888888884</v>
      </c>
      <c r="C34" s="5">
        <v>0.47759259259259257</v>
      </c>
      <c r="D34" s="7">
        <f>ORIG[[#This Row],[Exit Time]]-ORIG[[#This Row],[Entry Time]]</f>
        <v>2.6620370370372681E-4</v>
      </c>
      <c r="E34" s="9">
        <f>ORIG[[#This Row],[Time Elapsed]]*24*60*60</f>
        <v>23.000000000001997</v>
      </c>
      <c r="F34" s="4">
        <f t="shared" ref="F34:F65" si="2">I34/E34</f>
        <v>1.0434782608694746</v>
      </c>
      <c r="G34" s="3" t="s">
        <v>38</v>
      </c>
      <c r="H34" s="3" t="s">
        <v>14</v>
      </c>
      <c r="I34" s="3">
        <f t="shared" ref="I34:I65" si="3">IF(H34="away", $AE$1, $AF$1)</f>
        <v>24</v>
      </c>
      <c r="J34" s="3" t="s">
        <v>15</v>
      </c>
      <c r="K34" s="3" t="s">
        <v>16</v>
      </c>
      <c r="L34" s="3" t="s">
        <v>16</v>
      </c>
      <c r="M34" s="3" t="s">
        <v>15</v>
      </c>
      <c r="N34" s="3" t="s">
        <v>16</v>
      </c>
      <c r="O34" s="3" t="s">
        <v>17</v>
      </c>
      <c r="S34" s="3" t="str">
        <f>IF(ORIG[[#This Row],[Phone Follower]]="Y","Y","N")</f>
        <v>N</v>
      </c>
      <c r="W34" t="s">
        <v>183</v>
      </c>
      <c r="X34" s="1">
        <f>AVERAGE(F35:F44)</f>
        <v>1.3391222621773522</v>
      </c>
      <c r="AB34" s="1"/>
    </row>
    <row r="35" spans="1:28" hidden="1">
      <c r="A35" s="3">
        <v>34</v>
      </c>
      <c r="B35" s="5">
        <v>0.47734953703703703</v>
      </c>
      <c r="C35" s="5">
        <v>0.47753472222222221</v>
      </c>
      <c r="D35" s="7">
        <f>ORIG[[#This Row],[Exit Time]]-ORIG[[#This Row],[Entry Time]]</f>
        <v>1.8518518518517713E-4</v>
      </c>
      <c r="E35" s="9">
        <f>ORIG[[#This Row],[Time Elapsed]]*24*60*60</f>
        <v>15.999999999999304</v>
      </c>
      <c r="F35" s="4">
        <f t="shared" si="2"/>
        <v>1.1250000000000488</v>
      </c>
      <c r="G35" s="3" t="s">
        <v>37</v>
      </c>
      <c r="H35" s="3" t="s">
        <v>19</v>
      </c>
      <c r="I35" s="3">
        <f t="shared" si="3"/>
        <v>18</v>
      </c>
      <c r="J35" s="3" t="s">
        <v>15</v>
      </c>
      <c r="K35" s="3" t="s">
        <v>15</v>
      </c>
      <c r="L35" s="3" t="s">
        <v>15</v>
      </c>
      <c r="M35" s="3" t="s">
        <v>15</v>
      </c>
      <c r="N35" s="3" t="s">
        <v>15</v>
      </c>
      <c r="O35" s="3" t="s">
        <v>17</v>
      </c>
      <c r="Q35" s="3">
        <v>36</v>
      </c>
      <c r="R35" s="3" t="str">
        <f>IF(ORIG[[#This Row],[using phone?]]="Y","N","Y")</f>
        <v>Y</v>
      </c>
      <c r="S35" s="3" t="str">
        <f>IF(R32="Y","Y","N")</f>
        <v>Y</v>
      </c>
      <c r="T35" s="3" t="str">
        <f>IF(S32="Y","Y","N")</f>
        <v>N</v>
      </c>
    </row>
    <row r="36" spans="1:28">
      <c r="A36" s="3">
        <v>35</v>
      </c>
      <c r="B36" s="5">
        <v>0.47738425925925926</v>
      </c>
      <c r="C36" s="5">
        <v>0.47765046296296299</v>
      </c>
      <c r="D36" s="7">
        <f>ORIG[[#This Row],[Exit Time]]-ORIG[[#This Row],[Entry Time]]</f>
        <v>2.6620370370372681E-4</v>
      </c>
      <c r="E36" s="9">
        <f>ORIG[[#This Row],[Time Elapsed]]*24*60*60</f>
        <v>23.000000000001997</v>
      </c>
      <c r="F36" s="4">
        <f t="shared" si="2"/>
        <v>1.0434782608694746</v>
      </c>
      <c r="G36" s="3" t="s">
        <v>248</v>
      </c>
      <c r="H36" s="3" t="s">
        <v>14</v>
      </c>
      <c r="I36" s="3">
        <f t="shared" si="3"/>
        <v>24</v>
      </c>
      <c r="J36" s="3" t="s">
        <v>15</v>
      </c>
      <c r="K36" s="3" t="s">
        <v>16</v>
      </c>
      <c r="L36" s="3" t="s">
        <v>16</v>
      </c>
      <c r="M36" s="3" t="s">
        <v>15</v>
      </c>
      <c r="N36" s="3" t="s">
        <v>16</v>
      </c>
      <c r="O36" s="3" t="s">
        <v>20</v>
      </c>
      <c r="S36" s="3" t="str">
        <f>IF(ORIG[[#This Row],[Phone Follower]]="Y","Y","N")</f>
        <v>N</v>
      </c>
      <c r="W36" t="s">
        <v>183</v>
      </c>
      <c r="X36" s="1">
        <f>AVERAGE(F37:F46)</f>
        <v>1.3693332596197265</v>
      </c>
      <c r="AB36" s="1"/>
    </row>
    <row r="37" spans="1:28" hidden="1">
      <c r="A37" s="3">
        <v>36</v>
      </c>
      <c r="B37" s="5">
        <v>0.47738425925925926</v>
      </c>
      <c r="C37" s="5">
        <v>0.47754629629629625</v>
      </c>
      <c r="D37" s="7">
        <f>ORIG[[#This Row],[Exit Time]]-ORIG[[#This Row],[Entry Time]]</f>
        <v>1.6203703703698835E-4</v>
      </c>
      <c r="E37" s="9">
        <f>ORIG[[#This Row],[Time Elapsed]]*24*60*60</f>
        <v>13.999999999995794</v>
      </c>
      <c r="F37" s="4">
        <f t="shared" si="2"/>
        <v>1.2857142857146719</v>
      </c>
      <c r="G37" s="3" t="s">
        <v>36</v>
      </c>
      <c r="H37" s="3" t="s">
        <v>19</v>
      </c>
      <c r="I37" s="3">
        <f t="shared" si="3"/>
        <v>18</v>
      </c>
      <c r="J37" s="3" t="s">
        <v>15</v>
      </c>
      <c r="K37" s="3" t="s">
        <v>16</v>
      </c>
      <c r="L37" s="3" t="s">
        <v>16</v>
      </c>
      <c r="M37" s="3" t="s">
        <v>15</v>
      </c>
      <c r="N37" s="3" t="s">
        <v>16</v>
      </c>
      <c r="O37" s="3" t="s">
        <v>17</v>
      </c>
      <c r="P37" s="3" t="s">
        <v>16</v>
      </c>
      <c r="R37" s="3" t="str">
        <f>IF(ORIG[[#This Row],[using phone?]]="Y","N","Y")</f>
        <v>N</v>
      </c>
      <c r="S37" s="3" t="str">
        <f>IF(R34="Y","Y","N")</f>
        <v>N</v>
      </c>
      <c r="T37" s="3" t="str">
        <f>IF(S34="Y","Y","N")</f>
        <v>N</v>
      </c>
      <c r="W37" t="s">
        <v>183</v>
      </c>
      <c r="X37" s="1">
        <f>AVERAGE(F38:F47)</f>
        <v>1.3907618310482359</v>
      </c>
      <c r="AB37" s="1"/>
    </row>
    <row r="38" spans="1:28" hidden="1">
      <c r="A38" s="3">
        <v>37</v>
      </c>
      <c r="B38" s="5">
        <v>0.47744212962962962</v>
      </c>
      <c r="C38" s="5">
        <v>0.47754629629629625</v>
      </c>
      <c r="D38" s="7">
        <f>ORIG[[#This Row],[Exit Time]]-ORIG[[#This Row],[Entry Time]]</f>
        <v>1.0416666666662744E-4</v>
      </c>
      <c r="E38" s="9">
        <f>ORIG[[#This Row],[Time Elapsed]]*24*60*60</f>
        <v>8.9999999999966107</v>
      </c>
      <c r="F38" s="4">
        <f t="shared" si="2"/>
        <v>2.0000000000007532</v>
      </c>
      <c r="G38" s="3" t="s">
        <v>35</v>
      </c>
      <c r="H38" s="3" t="s">
        <v>19</v>
      </c>
      <c r="I38" s="3">
        <f t="shared" si="3"/>
        <v>18</v>
      </c>
      <c r="J38" s="3" t="s">
        <v>15</v>
      </c>
      <c r="K38" s="3" t="s">
        <v>15</v>
      </c>
      <c r="L38" s="3" t="s">
        <v>15</v>
      </c>
      <c r="M38" s="3" t="s">
        <v>30</v>
      </c>
      <c r="N38" s="3" t="s">
        <v>15</v>
      </c>
      <c r="O38" s="3" t="s">
        <v>20</v>
      </c>
      <c r="R38" s="3" t="str">
        <f>IF(ORIG[[#This Row],[using phone?]]="Y","N","Y")</f>
        <v>Y</v>
      </c>
      <c r="S38" s="3" t="str">
        <f>IF(R35="Y","Y","N")</f>
        <v>Y</v>
      </c>
      <c r="T38" s="3" t="str">
        <f>IF(S35="Y","Y","N")</f>
        <v>Y</v>
      </c>
    </row>
    <row r="39" spans="1:28">
      <c r="A39" s="3">
        <v>38</v>
      </c>
      <c r="B39" s="5">
        <v>0.47750000000000004</v>
      </c>
      <c r="C39" s="5">
        <v>0.47771990740740744</v>
      </c>
      <c r="D39" s="7">
        <f>ORIG[[#This Row],[Exit Time]]-ORIG[[#This Row],[Entry Time]]</f>
        <v>2.1990740740740478E-4</v>
      </c>
      <c r="E39" s="9">
        <f>ORIG[[#This Row],[Time Elapsed]]*24*60*60</f>
        <v>18.999999999999773</v>
      </c>
      <c r="F39" s="4">
        <f t="shared" si="2"/>
        <v>1.2631578947368571</v>
      </c>
      <c r="G39" s="3" t="s">
        <v>34</v>
      </c>
      <c r="H39" s="3" t="s">
        <v>14</v>
      </c>
      <c r="I39" s="3">
        <f t="shared" si="3"/>
        <v>24</v>
      </c>
      <c r="J39" s="3" t="s">
        <v>16</v>
      </c>
      <c r="K39" s="3" t="s">
        <v>15</v>
      </c>
      <c r="L39" s="3" t="s">
        <v>15</v>
      </c>
      <c r="M39" s="3" t="s">
        <v>30</v>
      </c>
      <c r="N39" s="3" t="s">
        <v>15</v>
      </c>
      <c r="O39" s="3" t="s">
        <v>17</v>
      </c>
      <c r="S39" s="3" t="str">
        <f>IF(ORIG[[#This Row],[Phone Follower]]="Y","Y","N")</f>
        <v>N</v>
      </c>
      <c r="AA39" t="s">
        <v>183</v>
      </c>
      <c r="AB39" s="1">
        <f>AVERAGE(F40:F49)</f>
        <v>1.3032618310481994</v>
      </c>
    </row>
    <row r="40" spans="1:28">
      <c r="A40" s="3">
        <v>39</v>
      </c>
      <c r="B40" s="5">
        <v>0.47750000000000004</v>
      </c>
      <c r="C40" s="5">
        <v>0.47771990740740744</v>
      </c>
      <c r="D40" s="7">
        <f>ORIG[[#This Row],[Exit Time]]-ORIG[[#This Row],[Entry Time]]</f>
        <v>2.1990740740740478E-4</v>
      </c>
      <c r="E40" s="9">
        <f>ORIG[[#This Row],[Time Elapsed]]*24*60*60</f>
        <v>18.999999999999773</v>
      </c>
      <c r="F40" s="4">
        <f t="shared" si="2"/>
        <v>1.2631578947368571</v>
      </c>
      <c r="G40" s="3" t="s">
        <v>33</v>
      </c>
      <c r="H40" s="3" t="s">
        <v>14</v>
      </c>
      <c r="I40" s="3">
        <f t="shared" si="3"/>
        <v>24</v>
      </c>
      <c r="J40" s="3" t="s">
        <v>16</v>
      </c>
      <c r="K40" s="3" t="s">
        <v>15</v>
      </c>
      <c r="L40" s="3" t="s">
        <v>15</v>
      </c>
      <c r="M40" s="3" t="s">
        <v>15</v>
      </c>
      <c r="N40" s="3" t="s">
        <v>15</v>
      </c>
      <c r="O40" s="3" t="s">
        <v>20</v>
      </c>
      <c r="S40" s="3" t="str">
        <f>IF(ORIG[[#This Row],[Phone Follower]]="Y","Y","N")</f>
        <v>N</v>
      </c>
      <c r="AA40" t="s">
        <v>183</v>
      </c>
      <c r="AB40" s="1">
        <f>AVERAGE(F41:F50)</f>
        <v>1.3269460415746099</v>
      </c>
    </row>
    <row r="41" spans="1:28">
      <c r="A41" s="3">
        <v>40</v>
      </c>
      <c r="B41" s="5">
        <v>0.4775578703703704</v>
      </c>
      <c r="C41" s="5">
        <v>0.47774305555555552</v>
      </c>
      <c r="D41" s="7">
        <f>ORIG[[#This Row],[Exit Time]]-ORIG[[#This Row],[Entry Time]]</f>
        <v>1.8518518518512161E-4</v>
      </c>
      <c r="E41" s="9">
        <f>ORIG[[#This Row],[Time Elapsed]]*24*60*60</f>
        <v>15.999999999994508</v>
      </c>
      <c r="F41" s="4">
        <f t="shared" si="2"/>
        <v>1.5000000000005149</v>
      </c>
      <c r="G41" s="3" t="s">
        <v>231</v>
      </c>
      <c r="H41" s="3" t="s">
        <v>14</v>
      </c>
      <c r="I41" s="3">
        <f t="shared" si="3"/>
        <v>24</v>
      </c>
      <c r="J41" s="3" t="s">
        <v>15</v>
      </c>
      <c r="K41" s="3" t="s">
        <v>15</v>
      </c>
      <c r="L41" s="3" t="s">
        <v>15</v>
      </c>
      <c r="M41" s="3" t="s">
        <v>15</v>
      </c>
      <c r="N41" s="3" t="s">
        <v>16</v>
      </c>
      <c r="O41" s="3" t="s">
        <v>20</v>
      </c>
      <c r="S41" s="3" t="str">
        <f>IF(ORIG[[#This Row],[Phone Follower]]="Y","Y","N")</f>
        <v>N</v>
      </c>
    </row>
    <row r="42" spans="1:28">
      <c r="A42" s="3">
        <v>41</v>
      </c>
      <c r="B42" s="5">
        <v>0.47767361111111112</v>
      </c>
      <c r="C42" s="5">
        <v>0.4778587962962963</v>
      </c>
      <c r="D42" s="7">
        <f>ORIG[[#This Row],[Exit Time]]-ORIG[[#This Row],[Entry Time]]</f>
        <v>1.8518518518517713E-4</v>
      </c>
      <c r="E42" s="9">
        <f>ORIG[[#This Row],[Time Elapsed]]*24*60*60</f>
        <v>15.999999999999304</v>
      </c>
      <c r="F42" s="4">
        <f t="shared" si="2"/>
        <v>1.5000000000000653</v>
      </c>
      <c r="G42" s="3" t="s">
        <v>32</v>
      </c>
      <c r="H42" s="3" t="s">
        <v>14</v>
      </c>
      <c r="I42" s="3">
        <f t="shared" si="3"/>
        <v>24</v>
      </c>
      <c r="J42" s="3" t="s">
        <v>15</v>
      </c>
      <c r="K42" s="3" t="s">
        <v>16</v>
      </c>
      <c r="L42" s="3" t="s">
        <v>16</v>
      </c>
      <c r="M42" s="3" t="s">
        <v>15</v>
      </c>
      <c r="N42" s="3" t="s">
        <v>16</v>
      </c>
      <c r="O42" s="3" t="s">
        <v>17</v>
      </c>
      <c r="S42" s="3" t="str">
        <f>IF(ORIG[[#This Row],[Phone Follower]]="Y","Y","N")</f>
        <v>N</v>
      </c>
      <c r="W42" t="s">
        <v>183</v>
      </c>
      <c r="X42" s="1">
        <f>AVERAGE(F43:F52)</f>
        <v>1.2484845031129939</v>
      </c>
      <c r="AB42" s="1"/>
    </row>
    <row r="43" spans="1:28" hidden="1">
      <c r="A43" s="3">
        <v>42</v>
      </c>
      <c r="B43" s="5">
        <v>0.47767361111111112</v>
      </c>
      <c r="C43" s="5">
        <v>0.4778587962962963</v>
      </c>
      <c r="D43" s="7">
        <f>ORIG[[#This Row],[Exit Time]]-ORIG[[#This Row],[Entry Time]]</f>
        <v>1.8518518518517713E-4</v>
      </c>
      <c r="E43" s="9">
        <f>ORIG[[#This Row],[Time Elapsed]]*24*60*60</f>
        <v>15.999999999999304</v>
      </c>
      <c r="F43" s="4">
        <f t="shared" si="2"/>
        <v>1.1250000000000488</v>
      </c>
      <c r="G43" s="3" t="s">
        <v>31</v>
      </c>
      <c r="H43" s="3" t="s">
        <v>19</v>
      </c>
      <c r="I43" s="3">
        <f t="shared" si="3"/>
        <v>18</v>
      </c>
      <c r="J43" s="3" t="s">
        <v>15</v>
      </c>
      <c r="K43" s="3" t="s">
        <v>15</v>
      </c>
      <c r="L43" s="3" t="s">
        <v>15</v>
      </c>
      <c r="M43" s="3" t="s">
        <v>15</v>
      </c>
      <c r="N43" s="3" t="s">
        <v>15</v>
      </c>
      <c r="O43" s="3" t="s">
        <v>20</v>
      </c>
      <c r="R43" s="3" t="str">
        <f>IF(ORIG[[#This Row],[using phone?]]="Y","N","Y")</f>
        <v>Y</v>
      </c>
      <c r="S43" s="3" t="str">
        <f>IF(R40="Y","Y","N")</f>
        <v>N</v>
      </c>
      <c r="T43" s="3" t="str">
        <f>IF(S40="Y","Y","N")</f>
        <v>N</v>
      </c>
    </row>
    <row r="44" spans="1:28" hidden="1">
      <c r="A44" s="3">
        <v>43</v>
      </c>
      <c r="B44" s="5">
        <v>0.47773148148148148</v>
      </c>
      <c r="C44" s="5">
        <v>0.47789351851851852</v>
      </c>
      <c r="D44" s="7">
        <f>ORIG[[#This Row],[Exit Time]]-ORIG[[#This Row],[Entry Time]]</f>
        <v>1.6203703703704386E-4</v>
      </c>
      <c r="E44" s="9">
        <f>ORIG[[#This Row],[Time Elapsed]]*24*60*60</f>
        <v>14.00000000000059</v>
      </c>
      <c r="F44" s="4">
        <f t="shared" si="2"/>
        <v>1.2857142857142316</v>
      </c>
      <c r="G44" s="3" t="s">
        <v>29</v>
      </c>
      <c r="H44" s="3" t="s">
        <v>19</v>
      </c>
      <c r="I44" s="3">
        <f t="shared" si="3"/>
        <v>18</v>
      </c>
      <c r="J44" s="3" t="s">
        <v>15</v>
      </c>
      <c r="K44" s="3" t="s">
        <v>15</v>
      </c>
      <c r="L44" s="3" t="s">
        <v>15</v>
      </c>
      <c r="M44" s="3" t="s">
        <v>30</v>
      </c>
      <c r="N44" s="3" t="s">
        <v>15</v>
      </c>
      <c r="O44" s="3" t="s">
        <v>20</v>
      </c>
      <c r="R44" s="3" t="str">
        <f>IF(ORIG[[#This Row],[using phone?]]="Y","N","Y")</f>
        <v>Y</v>
      </c>
      <c r="S44" s="3" t="str">
        <f>IF(R41="Y","Y","N")</f>
        <v>N</v>
      </c>
      <c r="T44" s="3" t="str">
        <f>IF(S41="Y","Y","N")</f>
        <v>N</v>
      </c>
    </row>
    <row r="45" spans="1:28">
      <c r="A45" s="3">
        <v>44</v>
      </c>
      <c r="B45" s="5">
        <v>0.47776620370370365</v>
      </c>
      <c r="C45" s="5">
        <v>0.47796296296296298</v>
      </c>
      <c r="D45" s="7">
        <f>ORIG[[#This Row],[Exit Time]]-ORIG[[#This Row],[Entry Time]]</f>
        <v>1.9675925925932702E-4</v>
      </c>
      <c r="E45" s="9">
        <f>ORIG[[#This Row],[Time Elapsed]]*24*60*60</f>
        <v>17.000000000005855</v>
      </c>
      <c r="F45" s="4">
        <f t="shared" si="2"/>
        <v>1.4117647058818668</v>
      </c>
      <c r="G45" s="3" t="s">
        <v>27</v>
      </c>
      <c r="H45" s="3" t="s">
        <v>14</v>
      </c>
      <c r="I45" s="3">
        <f t="shared" si="3"/>
        <v>24</v>
      </c>
      <c r="J45" s="3" t="s">
        <v>15</v>
      </c>
      <c r="K45" s="3" t="s">
        <v>16</v>
      </c>
      <c r="L45" s="3" t="s">
        <v>16</v>
      </c>
      <c r="M45" s="3" t="s">
        <v>15</v>
      </c>
      <c r="N45" s="3" t="s">
        <v>28</v>
      </c>
      <c r="O45" s="3" t="s">
        <v>17</v>
      </c>
      <c r="S45" s="3" t="str">
        <f>IF(ORIG[[#This Row],[Phone Follower]]="Y","Y","N")</f>
        <v>N</v>
      </c>
      <c r="W45" t="s">
        <v>183</v>
      </c>
      <c r="X45" s="1">
        <f>AVERAGE(F46:F55)</f>
        <v>1.2510494381780393</v>
      </c>
      <c r="AB45" s="1"/>
    </row>
    <row r="46" spans="1:28" hidden="1">
      <c r="A46" s="3">
        <v>45</v>
      </c>
      <c r="B46" s="5">
        <v>0.47776620370370365</v>
      </c>
      <c r="C46" s="5">
        <v>0.47796296296296298</v>
      </c>
      <c r="D46" s="7">
        <f>ORIG[[#This Row],[Exit Time]]-ORIG[[#This Row],[Entry Time]]</f>
        <v>1.9675925925932702E-4</v>
      </c>
      <c r="E46" s="9">
        <f>ORIG[[#This Row],[Time Elapsed]]*24*60*60</f>
        <v>17.000000000005855</v>
      </c>
      <c r="F46" s="4">
        <f t="shared" si="2"/>
        <v>1.0588235294114001</v>
      </c>
      <c r="G46" s="3" t="s">
        <v>26</v>
      </c>
      <c r="H46" s="3" t="s">
        <v>19</v>
      </c>
      <c r="I46" s="3">
        <f t="shared" si="3"/>
        <v>18</v>
      </c>
      <c r="J46" s="3" t="s">
        <v>15</v>
      </c>
      <c r="K46" s="3" t="s">
        <v>15</v>
      </c>
      <c r="L46" s="3" t="s">
        <v>15</v>
      </c>
      <c r="M46" s="3" t="s">
        <v>15</v>
      </c>
      <c r="N46" s="3" t="s">
        <v>15</v>
      </c>
      <c r="O46" s="3" t="s">
        <v>20</v>
      </c>
      <c r="R46" s="3" t="str">
        <f>IF(ORIG[[#This Row],[using phone?]]="Y","N","Y")</f>
        <v>Y</v>
      </c>
      <c r="S46" s="3" t="str">
        <f>IF(R43="Y","Y","N")</f>
        <v>Y</v>
      </c>
      <c r="T46" s="3" t="str">
        <f>IF(S43="Y","Y","N")</f>
        <v>N</v>
      </c>
    </row>
    <row r="47" spans="1:28" hidden="1">
      <c r="A47" s="3">
        <v>46</v>
      </c>
      <c r="B47" s="5">
        <v>0.4778587962962963</v>
      </c>
      <c r="C47" s="5">
        <v>0.47799768518518521</v>
      </c>
      <c r="D47" s="7">
        <f>ORIG[[#This Row],[Exit Time]]-ORIG[[#This Row],[Entry Time]]</f>
        <v>1.388888888889106E-4</v>
      </c>
      <c r="E47" s="9">
        <f>ORIG[[#This Row],[Time Elapsed]]*24*60*60</f>
        <v>12.000000000001876</v>
      </c>
      <c r="F47" s="4">
        <f t="shared" si="2"/>
        <v>1.4999999999997655</v>
      </c>
      <c r="G47" s="3" t="s">
        <v>25</v>
      </c>
      <c r="H47" s="3" t="s">
        <v>19</v>
      </c>
      <c r="I47" s="3">
        <f t="shared" si="3"/>
        <v>18</v>
      </c>
      <c r="J47" s="3" t="s">
        <v>15</v>
      </c>
      <c r="K47" s="3" t="s">
        <v>15</v>
      </c>
      <c r="L47" s="3" t="s">
        <v>15</v>
      </c>
      <c r="M47" s="3" t="s">
        <v>15</v>
      </c>
      <c r="N47" s="3" t="s">
        <v>15</v>
      </c>
      <c r="O47" s="3" t="s">
        <v>20</v>
      </c>
      <c r="R47" s="3" t="str">
        <f>IF(ORIG[[#This Row],[using phone?]]="Y","N","Y")</f>
        <v>Y</v>
      </c>
      <c r="S47" s="3" t="str">
        <f>IF(R44="Y","Y","N")</f>
        <v>Y</v>
      </c>
      <c r="T47" s="3" t="str">
        <f>IF(S44="Y","Y","N")</f>
        <v>N</v>
      </c>
    </row>
    <row r="48" spans="1:28">
      <c r="A48" s="3">
        <v>47</v>
      </c>
      <c r="B48" s="5">
        <v>0.47791666666666671</v>
      </c>
      <c r="C48" s="5">
        <v>0.47813657407407412</v>
      </c>
      <c r="D48" s="7">
        <f>ORIG[[#This Row],[Exit Time]]-ORIG[[#This Row],[Entry Time]]</f>
        <v>2.1990740740740478E-4</v>
      </c>
      <c r="E48" s="9">
        <f>ORIG[[#This Row],[Time Elapsed]]*24*60*60</f>
        <v>18.999999999999773</v>
      </c>
      <c r="F48" s="4">
        <f t="shared" si="2"/>
        <v>1.2631578947368571</v>
      </c>
      <c r="G48" s="3" t="s">
        <v>24</v>
      </c>
      <c r="H48" s="3" t="s">
        <v>14</v>
      </c>
      <c r="I48" s="3">
        <f t="shared" si="3"/>
        <v>24</v>
      </c>
      <c r="J48" s="3" t="s">
        <v>15</v>
      </c>
      <c r="K48" s="3" t="s">
        <v>16</v>
      </c>
      <c r="L48" s="3" t="s">
        <v>16</v>
      </c>
      <c r="M48" s="3" t="s">
        <v>15</v>
      </c>
      <c r="N48" s="3" t="s">
        <v>16</v>
      </c>
      <c r="O48" s="3" t="s">
        <v>20</v>
      </c>
      <c r="S48" s="3" t="str">
        <f>IF(ORIG[[#This Row],[Phone Follower]]="Y","Y","N")</f>
        <v>N</v>
      </c>
      <c r="W48" t="s">
        <v>183</v>
      </c>
      <c r="X48" s="1">
        <f>AVERAGE(F49:F58)</f>
        <v>1.1738512957632472</v>
      </c>
      <c r="AB48" s="1"/>
    </row>
    <row r="49" spans="1:28" hidden="1">
      <c r="A49" s="3">
        <v>48</v>
      </c>
      <c r="B49" s="5">
        <v>0.47793981481481485</v>
      </c>
      <c r="C49" s="5">
        <v>0.47812499999999997</v>
      </c>
      <c r="D49" s="7">
        <f>ORIG[[#This Row],[Exit Time]]-ORIG[[#This Row],[Entry Time]]</f>
        <v>1.8518518518512161E-4</v>
      </c>
      <c r="E49" s="9">
        <f>ORIG[[#This Row],[Time Elapsed]]*24*60*60</f>
        <v>15.999999999994508</v>
      </c>
      <c r="F49" s="4">
        <f t="shared" si="2"/>
        <v>1.1250000000003861</v>
      </c>
      <c r="G49" s="3" t="s">
        <v>232</v>
      </c>
      <c r="H49" s="3" t="s">
        <v>19</v>
      </c>
      <c r="I49" s="3">
        <f t="shared" si="3"/>
        <v>18</v>
      </c>
      <c r="J49" s="3" t="s">
        <v>16</v>
      </c>
      <c r="K49" s="3" t="s">
        <v>15</v>
      </c>
      <c r="L49" s="3" t="s">
        <v>15</v>
      </c>
      <c r="M49" s="3" t="s">
        <v>15</v>
      </c>
      <c r="N49" s="3" t="s">
        <v>15</v>
      </c>
      <c r="O49" s="3" t="s">
        <v>17</v>
      </c>
      <c r="R49" s="3" t="str">
        <f>IF(ORIG[[#This Row],[using phone?]]="Y","N","Y")</f>
        <v>Y</v>
      </c>
      <c r="S49" s="3" t="str">
        <f>IF(R46="Y","Y","N")</f>
        <v>Y</v>
      </c>
      <c r="T49" s="3" t="str">
        <f>IF(S46="Y","Y","N")</f>
        <v>Y</v>
      </c>
      <c r="AA49" t="s">
        <v>183</v>
      </c>
      <c r="AB49" s="1">
        <f>AVERAGE(F50:F59)</f>
        <v>1.1899227243346757</v>
      </c>
    </row>
    <row r="50" spans="1:28" hidden="1">
      <c r="A50" s="3">
        <v>49</v>
      </c>
      <c r="B50" s="5">
        <v>0.47798611111111117</v>
      </c>
      <c r="C50" s="5">
        <v>0.47812499999999997</v>
      </c>
      <c r="D50" s="7">
        <f>ORIG[[#This Row],[Exit Time]]-ORIG[[#This Row],[Entry Time]]</f>
        <v>1.3888888888879958E-4</v>
      </c>
      <c r="E50" s="9">
        <f>ORIG[[#This Row],[Time Elapsed]]*24*60*60</f>
        <v>11.999999999992284</v>
      </c>
      <c r="F50" s="4">
        <f t="shared" si="2"/>
        <v>1.5000000000009646</v>
      </c>
      <c r="G50" s="3" t="s">
        <v>23</v>
      </c>
      <c r="H50" s="3" t="s">
        <v>19</v>
      </c>
      <c r="I50" s="3">
        <f t="shared" si="3"/>
        <v>18</v>
      </c>
      <c r="J50" s="3" t="s">
        <v>16</v>
      </c>
      <c r="K50" s="3" t="s">
        <v>15</v>
      </c>
      <c r="L50" s="3" t="s">
        <v>15</v>
      </c>
      <c r="M50" s="3" t="s">
        <v>15</v>
      </c>
      <c r="N50" s="3" t="s">
        <v>15</v>
      </c>
      <c r="O50" s="3" t="s">
        <v>20</v>
      </c>
      <c r="R50" s="3" t="str">
        <f>IF(ORIG[[#This Row],[using phone?]]="Y","N","Y")</f>
        <v>Y</v>
      </c>
      <c r="S50" s="3" t="str">
        <f>IF(R47="Y","Y","N")</f>
        <v>Y</v>
      </c>
      <c r="T50" s="3" t="str">
        <f>IF(S47="Y","Y","N")</f>
        <v>Y</v>
      </c>
      <c r="AA50" t="s">
        <v>183</v>
      </c>
      <c r="AB50" s="1">
        <f>AVERAGE(F51:F60)</f>
        <v>1.1542084386202756</v>
      </c>
    </row>
    <row r="51" spans="1:28">
      <c r="A51" s="3">
        <v>50</v>
      </c>
      <c r="B51" s="5">
        <v>0.47802083333333334</v>
      </c>
      <c r="C51" s="5">
        <v>0.47847222222222219</v>
      </c>
      <c r="D51" s="7">
        <f>ORIG[[#This Row],[Exit Time]]-ORIG[[#This Row],[Entry Time]]</f>
        <v>4.5138888888884843E-4</v>
      </c>
      <c r="E51" s="9">
        <f>ORIG[[#This Row],[Time Elapsed]]*24*60*60</f>
        <v>38.999999999996504</v>
      </c>
      <c r="F51" s="4">
        <f t="shared" si="2"/>
        <v>0.6153846153846706</v>
      </c>
      <c r="G51" s="3" t="s">
        <v>22</v>
      </c>
      <c r="H51" s="3" t="s">
        <v>14</v>
      </c>
      <c r="I51" s="3">
        <f t="shared" si="3"/>
        <v>24</v>
      </c>
      <c r="J51" s="3" t="s">
        <v>15</v>
      </c>
      <c r="K51" s="3" t="s">
        <v>15</v>
      </c>
      <c r="L51" s="3" t="s">
        <v>15</v>
      </c>
      <c r="M51" s="3" t="s">
        <v>15</v>
      </c>
      <c r="N51" s="3" t="s">
        <v>15</v>
      </c>
      <c r="O51" s="3" t="s">
        <v>17</v>
      </c>
      <c r="P51" s="3" t="s">
        <v>16</v>
      </c>
      <c r="S51" s="3" t="str">
        <f>IF(ORIG[[#This Row],[Phone Follower]]="Y","Y","N")</f>
        <v>N</v>
      </c>
    </row>
    <row r="52" spans="1:28">
      <c r="A52" s="3">
        <v>51</v>
      </c>
      <c r="B52" s="5">
        <v>0.47804398148148147</v>
      </c>
      <c r="C52" s="5">
        <v>0.47821759259259261</v>
      </c>
      <c r="D52" s="7">
        <f>ORIG[[#This Row],[Exit Time]]-ORIG[[#This Row],[Entry Time]]</f>
        <v>1.7361111111113825E-4</v>
      </c>
      <c r="E52" s="9">
        <f>ORIG[[#This Row],[Time Elapsed]]*24*60*60</f>
        <v>15.000000000002345</v>
      </c>
      <c r="F52" s="4">
        <f t="shared" si="2"/>
        <v>1.5999999999997498</v>
      </c>
      <c r="G52" s="3" t="s">
        <v>21</v>
      </c>
      <c r="H52" s="3" t="s">
        <v>14</v>
      </c>
      <c r="I52" s="3">
        <f t="shared" si="3"/>
        <v>24</v>
      </c>
      <c r="J52" s="3" t="s">
        <v>15</v>
      </c>
      <c r="K52" s="3" t="s">
        <v>15</v>
      </c>
      <c r="L52" s="3" t="s">
        <v>15</v>
      </c>
      <c r="M52" s="3" t="s">
        <v>15</v>
      </c>
      <c r="N52" s="3" t="s">
        <v>15</v>
      </c>
      <c r="O52" s="3" t="s">
        <v>17</v>
      </c>
      <c r="Q52" s="3">
        <v>50</v>
      </c>
      <c r="S52" s="3" t="str">
        <f>IF(ORIG[[#This Row],[Phone Follower]]="Y","Y","N")</f>
        <v>N</v>
      </c>
    </row>
    <row r="53" spans="1:28" hidden="1">
      <c r="A53" s="3">
        <v>52</v>
      </c>
      <c r="B53" s="5">
        <v>0.47806712962962966</v>
      </c>
      <c r="C53" s="5">
        <v>0.47819444444444442</v>
      </c>
      <c r="D53" s="7">
        <f>ORIG[[#This Row],[Exit Time]]-ORIG[[#This Row],[Entry Time]]</f>
        <v>1.273148148147607E-4</v>
      </c>
      <c r="E53" s="9">
        <f>ORIG[[#This Row],[Time Elapsed]]*24*60*60</f>
        <v>10.999999999995325</v>
      </c>
      <c r="F53" s="4">
        <f t="shared" si="2"/>
        <v>1.6363636363643319</v>
      </c>
      <c r="G53" s="3" t="s">
        <v>18</v>
      </c>
      <c r="H53" s="3" t="s">
        <v>19</v>
      </c>
      <c r="I53" s="3">
        <f t="shared" si="3"/>
        <v>18</v>
      </c>
      <c r="J53" s="3" t="s">
        <v>15</v>
      </c>
      <c r="K53" s="3" t="s">
        <v>15</v>
      </c>
      <c r="L53" s="3" t="s">
        <v>15</v>
      </c>
      <c r="M53" s="3" t="s">
        <v>15</v>
      </c>
      <c r="N53" s="3" t="s">
        <v>15</v>
      </c>
      <c r="O53" s="3" t="s">
        <v>20</v>
      </c>
      <c r="R53" s="3" t="str">
        <f>IF(ORIG[[#This Row],[using phone?]]="Y","N","Y")</f>
        <v>Y</v>
      </c>
      <c r="S53" s="3" t="str">
        <f>IF(R50="Y","Y","N")</f>
        <v>Y</v>
      </c>
      <c r="T53" s="3" t="str">
        <f>IF(S50="Y","Y","N")</f>
        <v>Y</v>
      </c>
    </row>
    <row r="54" spans="1:28">
      <c r="A54" s="3">
        <v>53</v>
      </c>
      <c r="B54" s="5">
        <v>0.47809027777777779</v>
      </c>
      <c r="C54" s="5">
        <v>0.47828703703703707</v>
      </c>
      <c r="D54" s="7">
        <f>ORIG[[#This Row],[Exit Time]]-ORIG[[#This Row],[Entry Time]]</f>
        <v>1.9675925925927151E-4</v>
      </c>
      <c r="E54" s="9">
        <f>ORIG[[#This Row],[Time Elapsed]]*24*60*60</f>
        <v>17.000000000001059</v>
      </c>
      <c r="F54" s="4">
        <f t="shared" si="2"/>
        <v>1.4117647058822651</v>
      </c>
      <c r="G54" s="3" t="s">
        <v>233</v>
      </c>
      <c r="H54" s="3" t="s">
        <v>14</v>
      </c>
      <c r="I54" s="3">
        <f t="shared" si="3"/>
        <v>24</v>
      </c>
      <c r="J54" s="3" t="s">
        <v>15</v>
      </c>
      <c r="K54" s="3" t="s">
        <v>16</v>
      </c>
      <c r="L54" s="3" t="s">
        <v>16</v>
      </c>
      <c r="M54" s="3" t="s">
        <v>15</v>
      </c>
      <c r="N54" s="3" t="s">
        <v>16</v>
      </c>
      <c r="O54" s="3" t="s">
        <v>17</v>
      </c>
      <c r="S54" s="3" t="str">
        <f>IF(ORIG[[#This Row],[Phone Follower]]="Y","Y","N")</f>
        <v>N</v>
      </c>
      <c r="W54" t="s">
        <v>183</v>
      </c>
      <c r="X54" s="1">
        <f>AVERAGE(F55:F64)</f>
        <v>1.0869140989730086</v>
      </c>
      <c r="AB54" s="1"/>
    </row>
    <row r="55" spans="1:28">
      <c r="A55" s="3">
        <v>54</v>
      </c>
      <c r="B55" s="5">
        <v>0.47810185185185183</v>
      </c>
      <c r="C55" s="5">
        <v>0.47844907407407405</v>
      </c>
      <c r="D55" s="7">
        <f>ORIG[[#This Row],[Exit Time]]-ORIG[[#This Row],[Entry Time]]</f>
        <v>3.4722222222222099E-4</v>
      </c>
      <c r="E55" s="9">
        <f>ORIG[[#This Row],[Time Elapsed]]*24*60*60</f>
        <v>29.999999999999893</v>
      </c>
      <c r="F55" s="4">
        <f t="shared" si="2"/>
        <v>0.80000000000000282</v>
      </c>
      <c r="G55" s="3" t="s">
        <v>92</v>
      </c>
      <c r="H55" s="3" t="s">
        <v>14</v>
      </c>
      <c r="I55" s="3">
        <f t="shared" si="3"/>
        <v>24</v>
      </c>
      <c r="J55" s="3" t="s">
        <v>16</v>
      </c>
      <c r="K55" s="3" t="s">
        <v>16</v>
      </c>
      <c r="L55" s="3" t="s">
        <v>16</v>
      </c>
      <c r="M55" s="3" t="s">
        <v>15</v>
      </c>
      <c r="N55" s="3" t="s">
        <v>16</v>
      </c>
      <c r="O55" s="3" t="s">
        <v>17</v>
      </c>
      <c r="S55" s="3" t="str">
        <f>IF(ORIG[[#This Row],[Phone Follower]]="Y","Y","N")</f>
        <v>N</v>
      </c>
      <c r="W55" t="s">
        <v>183</v>
      </c>
      <c r="X55" s="1">
        <f>AVERAGE(F56:F65)</f>
        <v>1.1569140989729849</v>
      </c>
      <c r="AA55" t="s">
        <v>183</v>
      </c>
      <c r="AB55" s="1">
        <f>AVERAGE(F56:F65)</f>
        <v>1.1569140989729849</v>
      </c>
    </row>
    <row r="56" spans="1:28">
      <c r="A56" s="3">
        <v>55</v>
      </c>
      <c r="B56" s="6">
        <v>0.47810185185185183</v>
      </c>
      <c r="C56" s="5">
        <v>0.47844907407407405</v>
      </c>
      <c r="D56" s="7">
        <f>ORIG[[#This Row],[Exit Time]]-ORIG[[#This Row],[Entry Time]]</f>
        <v>3.4722222222222099E-4</v>
      </c>
      <c r="E56" s="9">
        <f>ORIG[[#This Row],[Time Elapsed]]*24*60*60</f>
        <v>29.999999999999893</v>
      </c>
      <c r="F56" s="4">
        <f t="shared" si="2"/>
        <v>0.80000000000000282</v>
      </c>
      <c r="G56" s="3" t="s">
        <v>91</v>
      </c>
      <c r="H56" s="3" t="s">
        <v>14</v>
      </c>
      <c r="I56" s="3">
        <f t="shared" si="3"/>
        <v>24</v>
      </c>
      <c r="J56" s="3" t="s">
        <v>16</v>
      </c>
      <c r="K56" s="3" t="s">
        <v>15</v>
      </c>
      <c r="L56" s="3" t="s">
        <v>15</v>
      </c>
      <c r="M56" s="3" t="s">
        <v>15</v>
      </c>
      <c r="N56" s="3" t="s">
        <v>15</v>
      </c>
      <c r="O56" s="3" t="s">
        <v>90</v>
      </c>
      <c r="S56" s="3" t="str">
        <f>IF(ORIG[[#This Row],[Phone Follower]]="Y","Y","N")</f>
        <v>N</v>
      </c>
      <c r="AA56" t="s">
        <v>183</v>
      </c>
      <c r="AB56" s="1">
        <f>AVERAGE(F57:F66)</f>
        <v>1.2269140989729612</v>
      </c>
    </row>
    <row r="57" spans="1:28" hidden="1">
      <c r="A57" s="3">
        <v>56</v>
      </c>
      <c r="B57" s="5">
        <v>0.4782986111111111</v>
      </c>
      <c r="C57" s="5">
        <v>0.47848379629629628</v>
      </c>
      <c r="D57" s="7">
        <f>ORIG[[#This Row],[Exit Time]]-ORIG[[#This Row],[Entry Time]]</f>
        <v>1.8518518518517713E-4</v>
      </c>
      <c r="E57" s="9">
        <f>ORIG[[#This Row],[Time Elapsed]]*24*60*60</f>
        <v>15.999999999999304</v>
      </c>
      <c r="F57" s="4">
        <f t="shared" si="2"/>
        <v>1.1250000000000488</v>
      </c>
      <c r="G57" s="3" t="s">
        <v>60</v>
      </c>
      <c r="H57" s="3" t="s">
        <v>19</v>
      </c>
      <c r="I57" s="3">
        <f t="shared" si="3"/>
        <v>18</v>
      </c>
      <c r="J57" s="3" t="s">
        <v>16</v>
      </c>
      <c r="K57" s="3" t="s">
        <v>15</v>
      </c>
      <c r="L57" s="3" t="s">
        <v>15</v>
      </c>
      <c r="M57" s="3" t="s">
        <v>15</v>
      </c>
      <c r="N57" s="3" t="s">
        <v>16</v>
      </c>
      <c r="O57" s="3" t="s">
        <v>17</v>
      </c>
      <c r="Q57" s="3">
        <v>58</v>
      </c>
      <c r="R57" s="3" t="str">
        <f>IF(ORIG[[#This Row],[using phone?]]="Y","N","Y")</f>
        <v>Y</v>
      </c>
      <c r="S57" s="3" t="str">
        <f t="shared" ref="S57:T59" si="4">IF(R54="Y","Y","N")</f>
        <v>N</v>
      </c>
      <c r="T57" s="3" t="str">
        <f t="shared" si="4"/>
        <v>N</v>
      </c>
      <c r="AA57" t="s">
        <v>183</v>
      </c>
      <c r="AB57" s="1">
        <f>AVERAGE(F58:F67)</f>
        <v>1.2144140989729606</v>
      </c>
    </row>
    <row r="58" spans="1:28" hidden="1">
      <c r="A58" s="3">
        <v>57</v>
      </c>
      <c r="B58" s="5">
        <v>0.4782986111111111</v>
      </c>
      <c r="C58" s="5">
        <v>0.47848379629629628</v>
      </c>
      <c r="D58" s="7">
        <f>ORIG[[#This Row],[Exit Time]]-ORIG[[#This Row],[Entry Time]]</f>
        <v>1.8518518518517713E-4</v>
      </c>
      <c r="E58" s="9">
        <f>ORIG[[#This Row],[Time Elapsed]]*24*60*60</f>
        <v>15.999999999999304</v>
      </c>
      <c r="F58" s="4">
        <f t="shared" si="2"/>
        <v>1.1250000000000488</v>
      </c>
      <c r="G58" s="3" t="s">
        <v>61</v>
      </c>
      <c r="H58" s="3" t="s">
        <v>19</v>
      </c>
      <c r="I58" s="3">
        <f t="shared" si="3"/>
        <v>18</v>
      </c>
      <c r="J58" s="3" t="s">
        <v>16</v>
      </c>
      <c r="K58" s="3" t="s">
        <v>15</v>
      </c>
      <c r="L58" s="3" t="s">
        <v>15</v>
      </c>
      <c r="M58" s="3" t="s">
        <v>15</v>
      </c>
      <c r="N58" s="3" t="s">
        <v>15</v>
      </c>
      <c r="O58" s="3" t="s">
        <v>20</v>
      </c>
      <c r="Q58" s="3">
        <v>58</v>
      </c>
      <c r="R58" s="3" t="str">
        <f>IF(ORIG[[#This Row],[using phone?]]="Y","N","Y")</f>
        <v>Y</v>
      </c>
      <c r="S58" s="3" t="str">
        <f t="shared" si="4"/>
        <v>N</v>
      </c>
      <c r="T58" s="3" t="str">
        <f t="shared" si="4"/>
        <v>N</v>
      </c>
      <c r="AA58" t="s">
        <v>183</v>
      </c>
      <c r="AB58" s="1">
        <f>AVERAGE(F59:F68)</f>
        <v>1.1908029878618307</v>
      </c>
    </row>
    <row r="59" spans="1:28" hidden="1">
      <c r="A59" s="3">
        <v>58</v>
      </c>
      <c r="B59" s="5">
        <v>0.47835648148148152</v>
      </c>
      <c r="C59" s="5">
        <v>0.47851851851851851</v>
      </c>
      <c r="D59" s="7">
        <f>ORIG[[#This Row],[Exit Time]]-ORIG[[#This Row],[Entry Time]]</f>
        <v>1.6203703703698835E-4</v>
      </c>
      <c r="E59" s="9">
        <f>ORIG[[#This Row],[Time Elapsed]]*24*60*60</f>
        <v>13.999999999995794</v>
      </c>
      <c r="F59" s="4">
        <f t="shared" si="2"/>
        <v>1.2857142857146719</v>
      </c>
      <c r="G59" s="3" t="s">
        <v>62</v>
      </c>
      <c r="H59" s="3" t="s">
        <v>19</v>
      </c>
      <c r="I59" s="3">
        <f t="shared" si="3"/>
        <v>18</v>
      </c>
      <c r="J59" s="3" t="s">
        <v>15</v>
      </c>
      <c r="K59" s="3" t="s">
        <v>15</v>
      </c>
      <c r="L59" s="3" t="s">
        <v>15</v>
      </c>
      <c r="M59" s="3" t="s">
        <v>15</v>
      </c>
      <c r="N59" s="3" t="s">
        <v>16</v>
      </c>
      <c r="O59" s="3" t="s">
        <v>17</v>
      </c>
      <c r="P59" s="3" t="s">
        <v>16</v>
      </c>
      <c r="R59" s="3" t="str">
        <f>IF(ORIG[[#This Row],[using phone?]]="Y","N","Y")</f>
        <v>Y</v>
      </c>
      <c r="S59" s="3" t="str">
        <f t="shared" si="4"/>
        <v>N</v>
      </c>
      <c r="T59" s="3" t="str">
        <f t="shared" si="4"/>
        <v>N</v>
      </c>
    </row>
    <row r="60" spans="1:28">
      <c r="A60" s="3">
        <v>59</v>
      </c>
      <c r="B60" s="5">
        <v>0.47849537037037032</v>
      </c>
      <c r="C60" s="5">
        <v>0.47873842592592591</v>
      </c>
      <c r="D60" s="7">
        <f>ORIG[[#This Row],[Exit Time]]-ORIG[[#This Row],[Entry Time]]</f>
        <v>2.4305555555559355E-4</v>
      </c>
      <c r="E60" s="9">
        <f>ORIG[[#This Row],[Time Elapsed]]*24*60*60</f>
        <v>21.000000000003283</v>
      </c>
      <c r="F60" s="4">
        <f t="shared" si="2"/>
        <v>1.1428571428569643</v>
      </c>
      <c r="G60" s="3" t="s">
        <v>63</v>
      </c>
      <c r="H60" s="3" t="s">
        <v>14</v>
      </c>
      <c r="I60" s="3">
        <f t="shared" si="3"/>
        <v>24</v>
      </c>
      <c r="J60" s="3" t="s">
        <v>15</v>
      </c>
      <c r="K60" s="3" t="s">
        <v>16</v>
      </c>
      <c r="L60" s="3" t="s">
        <v>16</v>
      </c>
      <c r="M60" s="3" t="s">
        <v>15</v>
      </c>
      <c r="N60" s="3" t="s">
        <v>16</v>
      </c>
      <c r="O60" s="3" t="s">
        <v>20</v>
      </c>
      <c r="S60" s="3" t="str">
        <f>IF(ORIG[[#This Row],[Phone Follower]]="Y","Y","N")</f>
        <v>N</v>
      </c>
      <c r="W60" t="s">
        <v>183</v>
      </c>
      <c r="X60" s="1">
        <f>AVERAGE(F61:F70)</f>
        <v>1.1654061624649654</v>
      </c>
      <c r="AB60" s="1"/>
    </row>
    <row r="61" spans="1:28">
      <c r="A61" s="3">
        <v>60</v>
      </c>
      <c r="B61" s="5">
        <v>0.47859953703703706</v>
      </c>
      <c r="C61" s="5">
        <v>0.47891203703703705</v>
      </c>
      <c r="D61" s="7">
        <f>ORIG[[#This Row],[Exit Time]]-ORIG[[#This Row],[Entry Time]]</f>
        <v>3.1249999999999334E-4</v>
      </c>
      <c r="E61" s="9">
        <f>ORIG[[#This Row],[Time Elapsed]]*24*60*60</f>
        <v>26.999999999999424</v>
      </c>
      <c r="F61" s="4">
        <f t="shared" si="2"/>
        <v>0.88888888888890782</v>
      </c>
      <c r="G61" s="3" t="s">
        <v>64</v>
      </c>
      <c r="H61" s="3" t="s">
        <v>14</v>
      </c>
      <c r="I61" s="3">
        <f t="shared" si="3"/>
        <v>24</v>
      </c>
      <c r="J61" s="3" t="s">
        <v>15</v>
      </c>
      <c r="K61" s="3" t="s">
        <v>16</v>
      </c>
      <c r="L61" s="3" t="s">
        <v>16</v>
      </c>
      <c r="M61" s="3" t="s">
        <v>15</v>
      </c>
      <c r="N61" s="3" t="s">
        <v>16</v>
      </c>
      <c r="O61" s="3" t="s">
        <v>20</v>
      </c>
      <c r="P61" s="3" t="s">
        <v>16</v>
      </c>
      <c r="S61" s="3" t="str">
        <f>IF(ORIG[[#This Row],[Phone Follower]]="Y","Y","N")</f>
        <v>N</v>
      </c>
      <c r="W61" t="s">
        <v>183</v>
      </c>
      <c r="X61" s="1">
        <f>AVERAGE(F62:F71)</f>
        <v>1.1890172735760796</v>
      </c>
      <c r="AB61" s="1"/>
    </row>
    <row r="62" spans="1:28" hidden="1">
      <c r="A62" s="3">
        <v>61</v>
      </c>
      <c r="B62" s="5">
        <v>0.47862268518518519</v>
      </c>
      <c r="C62" s="5">
        <v>0.47881944444444446</v>
      </c>
      <c r="D62" s="7">
        <f>ORIG[[#This Row],[Exit Time]]-ORIG[[#This Row],[Entry Time]]</f>
        <v>1.9675925925927151E-4</v>
      </c>
      <c r="E62" s="9">
        <f>ORIG[[#This Row],[Time Elapsed]]*24*60*60</f>
        <v>17.000000000001059</v>
      </c>
      <c r="F62" s="4">
        <f t="shared" si="2"/>
        <v>1.0588235294116988</v>
      </c>
      <c r="G62" s="3" t="s">
        <v>65</v>
      </c>
      <c r="H62" s="3" t="s">
        <v>19</v>
      </c>
      <c r="I62" s="3">
        <f t="shared" si="3"/>
        <v>18</v>
      </c>
      <c r="J62" s="3" t="s">
        <v>15</v>
      </c>
      <c r="K62" s="3" t="s">
        <v>15</v>
      </c>
      <c r="L62" s="3" t="s">
        <v>15</v>
      </c>
      <c r="M62" s="3" t="s">
        <v>15</v>
      </c>
      <c r="N62" s="3" t="s">
        <v>16</v>
      </c>
      <c r="O62" s="3" t="s">
        <v>17</v>
      </c>
      <c r="R62" s="3" t="str">
        <f>IF(ORIG[[#This Row],[using phone?]]="Y","N","Y")</f>
        <v>Y</v>
      </c>
      <c r="S62" s="3" t="str">
        <f>IF(R59="Y","Y","N")</f>
        <v>Y</v>
      </c>
      <c r="T62" s="3" t="str">
        <f>IF(S59="Y","Y","N")</f>
        <v>N</v>
      </c>
    </row>
    <row r="63" spans="1:28">
      <c r="A63" s="3">
        <v>62</v>
      </c>
      <c r="B63" s="5">
        <v>0.47864583333333338</v>
      </c>
      <c r="C63" s="5">
        <v>0.47888888888888892</v>
      </c>
      <c r="D63" s="7">
        <f>ORIG[[#This Row],[Exit Time]]-ORIG[[#This Row],[Entry Time]]</f>
        <v>2.4305555555553804E-4</v>
      </c>
      <c r="E63" s="9">
        <f>ORIG[[#This Row],[Time Elapsed]]*24*60*60</f>
        <v>20.999999999998487</v>
      </c>
      <c r="F63" s="4">
        <f t="shared" si="2"/>
        <v>1.1428571428572252</v>
      </c>
      <c r="G63" s="3" t="s">
        <v>66</v>
      </c>
      <c r="H63" s="3" t="s">
        <v>14</v>
      </c>
      <c r="I63" s="3">
        <f t="shared" si="3"/>
        <v>24</v>
      </c>
      <c r="J63" s="3" t="s">
        <v>15</v>
      </c>
      <c r="K63" s="3" t="s">
        <v>15</v>
      </c>
      <c r="L63" s="3" t="s">
        <v>15</v>
      </c>
      <c r="M63" s="3" t="s">
        <v>15</v>
      </c>
      <c r="N63" s="3" t="s">
        <v>15</v>
      </c>
      <c r="O63" s="3" t="s">
        <v>20</v>
      </c>
      <c r="Q63" s="3">
        <v>60</v>
      </c>
      <c r="S63" s="3" t="str">
        <f>IF(ORIG[[#This Row],[Phone Follower]]="Y","Y","N")</f>
        <v>N</v>
      </c>
    </row>
    <row r="64" spans="1:28">
      <c r="A64" s="3">
        <v>63</v>
      </c>
      <c r="B64" s="5">
        <v>0.47875000000000001</v>
      </c>
      <c r="C64" s="5">
        <v>0.47893518518518513</v>
      </c>
      <c r="D64" s="7">
        <f>ORIG[[#This Row],[Exit Time]]-ORIG[[#This Row],[Entry Time]]</f>
        <v>1.8518518518512161E-4</v>
      </c>
      <c r="E64" s="9">
        <f>ORIG[[#This Row],[Time Elapsed]]*24*60*60</f>
        <v>15.999999999994508</v>
      </c>
      <c r="F64" s="4">
        <f t="shared" si="2"/>
        <v>1.5000000000005149</v>
      </c>
      <c r="G64" s="3" t="s">
        <v>67</v>
      </c>
      <c r="H64" s="3" t="s">
        <v>14</v>
      </c>
      <c r="I64" s="3">
        <f t="shared" si="3"/>
        <v>24</v>
      </c>
      <c r="J64" s="3" t="s">
        <v>15</v>
      </c>
      <c r="K64" s="3" t="s">
        <v>15</v>
      </c>
      <c r="L64" s="3" t="s">
        <v>15</v>
      </c>
      <c r="M64" s="3" t="s">
        <v>15</v>
      </c>
      <c r="N64" s="3" t="s">
        <v>15</v>
      </c>
      <c r="O64" s="3" t="s">
        <v>17</v>
      </c>
      <c r="S64" s="3" t="str">
        <f>IF(ORIG[[#This Row],[Phone Follower]]="Y","Y","N")</f>
        <v>N</v>
      </c>
    </row>
    <row r="65" spans="1:28" hidden="1">
      <c r="A65" s="3">
        <v>64</v>
      </c>
      <c r="B65" s="5">
        <v>0.47878472222222218</v>
      </c>
      <c r="C65" s="5">
        <v>0.47892361111111109</v>
      </c>
      <c r="D65" s="7">
        <f>ORIG[[#This Row],[Exit Time]]-ORIG[[#This Row],[Entry Time]]</f>
        <v>1.388888888889106E-4</v>
      </c>
      <c r="E65" s="9">
        <f>ORIG[[#This Row],[Time Elapsed]]*24*60*60</f>
        <v>12.000000000001876</v>
      </c>
      <c r="F65" s="4">
        <f t="shared" si="2"/>
        <v>1.4999999999997655</v>
      </c>
      <c r="G65" s="3" t="s">
        <v>68</v>
      </c>
      <c r="H65" s="3" t="s">
        <v>19</v>
      </c>
      <c r="I65" s="3">
        <f t="shared" si="3"/>
        <v>18</v>
      </c>
      <c r="J65" s="3" t="s">
        <v>15</v>
      </c>
      <c r="K65" s="3" t="s">
        <v>15</v>
      </c>
      <c r="L65" s="3" t="s">
        <v>15</v>
      </c>
      <c r="M65" s="3" t="s">
        <v>15</v>
      </c>
      <c r="N65" s="3" t="s">
        <v>15</v>
      </c>
      <c r="O65" s="3" t="s">
        <v>20</v>
      </c>
      <c r="R65" s="3" t="str">
        <f>IF(ORIG[[#This Row],[using phone?]]="Y","N","Y")</f>
        <v>Y</v>
      </c>
      <c r="S65" s="3" t="str">
        <f>IF(R62="Y","Y","N")</f>
        <v>Y</v>
      </c>
      <c r="T65" s="3" t="str">
        <f>IF(S62="Y","Y","N")</f>
        <v>Y</v>
      </c>
    </row>
    <row r="66" spans="1:28" hidden="1">
      <c r="A66" s="3">
        <v>65</v>
      </c>
      <c r="B66" s="5">
        <v>0.47880787037037037</v>
      </c>
      <c r="C66" s="5">
        <v>0.47894675925925928</v>
      </c>
      <c r="D66" s="7">
        <f>ORIG[[#This Row],[Exit Time]]-ORIG[[#This Row],[Entry Time]]</f>
        <v>1.388888888889106E-4</v>
      </c>
      <c r="E66" s="9">
        <f>ORIG[[#This Row],[Time Elapsed]]*24*60*60</f>
        <v>12.000000000001876</v>
      </c>
      <c r="F66" s="4">
        <f t="shared" ref="F66:F97" si="5">I66/E66</f>
        <v>1.4999999999997655</v>
      </c>
      <c r="G66" s="3" t="s">
        <v>72</v>
      </c>
      <c r="H66" s="3" t="s">
        <v>19</v>
      </c>
      <c r="I66" s="3">
        <f t="shared" ref="I66:I97" si="6">IF(H66="away", $AE$1, $AF$1)</f>
        <v>18</v>
      </c>
      <c r="J66" s="3" t="s">
        <v>15</v>
      </c>
      <c r="K66" s="3" t="s">
        <v>15</v>
      </c>
      <c r="L66" s="3" t="s">
        <v>15</v>
      </c>
      <c r="M66" s="3" t="s">
        <v>15</v>
      </c>
      <c r="N66" s="3" t="s">
        <v>15</v>
      </c>
      <c r="O66" s="3" t="s">
        <v>20</v>
      </c>
      <c r="R66" s="3" t="str">
        <f>IF(ORIG[[#This Row],[using phone?]]="Y","N","Y")</f>
        <v>Y</v>
      </c>
      <c r="S66" s="3" t="str">
        <f>IF(R63="Y","Y","N")</f>
        <v>N</v>
      </c>
      <c r="T66" s="3" t="str">
        <f>IF(S63="Y","Y","N")</f>
        <v>N</v>
      </c>
    </row>
    <row r="67" spans="1:28">
      <c r="A67" s="3">
        <v>66</v>
      </c>
      <c r="B67" s="5">
        <v>0.47881944444444446</v>
      </c>
      <c r="C67" s="5">
        <v>0.47909722222222223</v>
      </c>
      <c r="D67" s="7">
        <f>ORIG[[#This Row],[Exit Time]]-ORIG[[#This Row],[Entry Time]]</f>
        <v>2.7777777777776569E-4</v>
      </c>
      <c r="E67" s="9">
        <f>ORIG[[#This Row],[Time Elapsed]]*24*60*60</f>
        <v>23.999999999998956</v>
      </c>
      <c r="F67" s="4">
        <f t="shared" si="5"/>
        <v>1.0000000000000435</v>
      </c>
      <c r="G67" s="3" t="s">
        <v>69</v>
      </c>
      <c r="H67" s="3" t="s">
        <v>14</v>
      </c>
      <c r="I67" s="3">
        <f t="shared" si="6"/>
        <v>24</v>
      </c>
      <c r="J67" s="3" t="s">
        <v>15</v>
      </c>
      <c r="K67" s="3" t="s">
        <v>15</v>
      </c>
      <c r="L67" s="3" t="s">
        <v>15</v>
      </c>
      <c r="M67" s="3" t="s">
        <v>15</v>
      </c>
      <c r="N67" s="3" t="s">
        <v>16</v>
      </c>
      <c r="O67" s="3" t="s">
        <v>17</v>
      </c>
      <c r="S67" s="3" t="str">
        <f>IF(ORIG[[#This Row],[Phone Follower]]="Y","Y","N")</f>
        <v>N</v>
      </c>
    </row>
    <row r="68" spans="1:28">
      <c r="A68" s="3">
        <v>67</v>
      </c>
      <c r="B68" s="5">
        <v>0.47885416666666664</v>
      </c>
      <c r="C68" s="5">
        <v>0.47916666666666669</v>
      </c>
      <c r="D68" s="7">
        <f>ORIG[[#This Row],[Exit Time]]-ORIG[[#This Row],[Entry Time]]</f>
        <v>3.1250000000004885E-4</v>
      </c>
      <c r="E68" s="9">
        <f>ORIG[[#This Row],[Time Elapsed]]*24*60*60</f>
        <v>27.000000000004221</v>
      </c>
      <c r="F68" s="4">
        <f t="shared" si="5"/>
        <v>0.88888888888874995</v>
      </c>
      <c r="G68" s="3" t="s">
        <v>70</v>
      </c>
      <c r="H68" s="3" t="s">
        <v>14</v>
      </c>
      <c r="I68" s="3">
        <f t="shared" si="6"/>
        <v>24</v>
      </c>
      <c r="J68" s="3" t="s">
        <v>16</v>
      </c>
      <c r="K68" s="3" t="s">
        <v>15</v>
      </c>
      <c r="L68" s="3" t="s">
        <v>15</v>
      </c>
      <c r="M68" s="3" t="s">
        <v>15</v>
      </c>
      <c r="N68" s="3" t="s">
        <v>15</v>
      </c>
      <c r="O68" s="3" t="s">
        <v>20</v>
      </c>
      <c r="S68" s="3" t="str">
        <f>IF(ORIG[[#This Row],[Phone Follower]]="Y","Y","N")</f>
        <v>N</v>
      </c>
      <c r="AA68" t="s">
        <v>183</v>
      </c>
      <c r="AB68" s="1">
        <f>AVERAGE(F69:F78)</f>
        <v>1.1715512265513837</v>
      </c>
    </row>
    <row r="69" spans="1:28">
      <c r="A69" s="3">
        <v>68</v>
      </c>
      <c r="B69" s="5">
        <v>0.47885416666666664</v>
      </c>
      <c r="C69" s="5">
        <v>0.47916666666666669</v>
      </c>
      <c r="D69" s="7">
        <f>ORIG[[#This Row],[Exit Time]]-ORIG[[#This Row],[Entry Time]]</f>
        <v>3.1250000000004885E-4</v>
      </c>
      <c r="E69" s="9">
        <f>ORIG[[#This Row],[Time Elapsed]]*24*60*60</f>
        <v>27.000000000004221</v>
      </c>
      <c r="F69" s="4">
        <f t="shared" si="5"/>
        <v>0.88888888888874995</v>
      </c>
      <c r="G69" s="3" t="s">
        <v>71</v>
      </c>
      <c r="H69" s="3" t="s">
        <v>14</v>
      </c>
      <c r="I69" s="3">
        <f t="shared" si="6"/>
        <v>24</v>
      </c>
      <c r="J69" s="3" t="s">
        <v>16</v>
      </c>
      <c r="K69" s="3" t="s">
        <v>15</v>
      </c>
      <c r="L69" s="3" t="s">
        <v>15</v>
      </c>
      <c r="M69" s="3" t="s">
        <v>15</v>
      </c>
      <c r="N69" s="3" t="s">
        <v>15</v>
      </c>
      <c r="O69" s="3" t="s">
        <v>20</v>
      </c>
      <c r="S69" s="3" t="str">
        <f>IF(ORIG[[#This Row],[Phone Follower]]="Y","Y","N")</f>
        <v>N</v>
      </c>
      <c r="AA69" t="s">
        <v>183</v>
      </c>
      <c r="AB69" s="1">
        <f>AVERAGE(F70:F79)</f>
        <v>1.2159956709958566</v>
      </c>
    </row>
    <row r="70" spans="1:28" hidden="1">
      <c r="A70" s="3">
        <v>69</v>
      </c>
      <c r="B70" s="5">
        <v>0.47905092592592591</v>
      </c>
      <c r="C70" s="5">
        <v>0.47921296296296295</v>
      </c>
      <c r="D70" s="7">
        <f>ORIG[[#This Row],[Exit Time]]-ORIG[[#This Row],[Entry Time]]</f>
        <v>1.6203703703704386E-4</v>
      </c>
      <c r="E70" s="9">
        <f>ORIG[[#This Row],[Time Elapsed]]*24*60*60</f>
        <v>14.00000000000059</v>
      </c>
      <c r="F70" s="4">
        <f t="shared" si="5"/>
        <v>1.2857142857142316</v>
      </c>
      <c r="G70" s="3" t="s">
        <v>74</v>
      </c>
      <c r="H70" s="3" t="s">
        <v>19</v>
      </c>
      <c r="I70" s="3">
        <f t="shared" si="6"/>
        <v>18</v>
      </c>
      <c r="J70" s="3" t="s">
        <v>15</v>
      </c>
      <c r="K70" s="3" t="s">
        <v>15</v>
      </c>
      <c r="L70" s="3" t="s">
        <v>15</v>
      </c>
      <c r="M70" s="3" t="s">
        <v>15</v>
      </c>
      <c r="N70" s="3" t="s">
        <v>15</v>
      </c>
      <c r="O70" s="3" t="s">
        <v>20</v>
      </c>
      <c r="Q70" s="3" t="s">
        <v>209</v>
      </c>
      <c r="R70" s="3" t="str">
        <f>IF(ORIG[[#This Row],[using phone?]]="Y","N","Y")</f>
        <v>Y</v>
      </c>
      <c r="S70" s="3" t="str">
        <f t="shared" ref="S70:T72" si="7">IF(R67="Y","Y","N")</f>
        <v>N</v>
      </c>
      <c r="T70" s="3" t="str">
        <f t="shared" si="7"/>
        <v>N</v>
      </c>
    </row>
    <row r="71" spans="1:28" hidden="1">
      <c r="A71" s="3">
        <v>70</v>
      </c>
      <c r="B71" s="5">
        <v>0.4790625</v>
      </c>
      <c r="C71" s="5">
        <v>0.47924768518518518</v>
      </c>
      <c r="D71" s="7">
        <f>ORIG[[#This Row],[Exit Time]]-ORIG[[#This Row],[Entry Time]]</f>
        <v>1.8518518518517713E-4</v>
      </c>
      <c r="E71" s="9">
        <f>ORIG[[#This Row],[Time Elapsed]]*24*60*60</f>
        <v>15.999999999999304</v>
      </c>
      <c r="F71" s="4">
        <f t="shared" si="5"/>
        <v>1.1250000000000488</v>
      </c>
      <c r="G71" s="3" t="s">
        <v>73</v>
      </c>
      <c r="H71" s="3" t="s">
        <v>19</v>
      </c>
      <c r="I71" s="3">
        <f t="shared" si="6"/>
        <v>18</v>
      </c>
      <c r="J71" s="3" t="s">
        <v>15</v>
      </c>
      <c r="K71" s="3" t="s">
        <v>15</v>
      </c>
      <c r="L71" s="3" t="s">
        <v>15</v>
      </c>
      <c r="M71" s="3" t="s">
        <v>15</v>
      </c>
      <c r="N71" s="3" t="s">
        <v>16</v>
      </c>
      <c r="O71" s="3" t="s">
        <v>17</v>
      </c>
      <c r="P71" s="3" t="s">
        <v>16</v>
      </c>
      <c r="Q71" s="3">
        <v>71</v>
      </c>
      <c r="R71" s="3" t="str">
        <f>IF(ORIG[[#This Row],[using phone?]]="Y","N","Y")</f>
        <v>Y</v>
      </c>
      <c r="S71" s="3" t="str">
        <f t="shared" si="7"/>
        <v>N</v>
      </c>
      <c r="T71" s="3" t="str">
        <f t="shared" si="7"/>
        <v>N</v>
      </c>
    </row>
    <row r="72" spans="1:28" hidden="1">
      <c r="A72" s="3">
        <v>71</v>
      </c>
      <c r="B72" s="5">
        <v>0.47908564814814819</v>
      </c>
      <c r="C72" s="5">
        <v>0.47927083333333331</v>
      </c>
      <c r="D72" s="7">
        <f>ORIG[[#This Row],[Exit Time]]-ORIG[[#This Row],[Entry Time]]</f>
        <v>1.8518518518512161E-4</v>
      </c>
      <c r="E72" s="9">
        <f>ORIG[[#This Row],[Time Elapsed]]*24*60*60</f>
        <v>15.999999999994508</v>
      </c>
      <c r="F72" s="4">
        <f t="shared" si="5"/>
        <v>1.1250000000003861</v>
      </c>
      <c r="G72" s="3" t="s">
        <v>76</v>
      </c>
      <c r="H72" s="3" t="s">
        <v>19</v>
      </c>
      <c r="I72" s="3">
        <f t="shared" si="6"/>
        <v>18</v>
      </c>
      <c r="J72" s="3" t="s">
        <v>15</v>
      </c>
      <c r="K72" s="3" t="s">
        <v>16</v>
      </c>
      <c r="L72" s="3" t="s">
        <v>16</v>
      </c>
      <c r="M72" s="3" t="s">
        <v>15</v>
      </c>
      <c r="N72" s="3" t="s">
        <v>16</v>
      </c>
      <c r="O72" s="3" t="s">
        <v>20</v>
      </c>
      <c r="P72" s="3" t="s">
        <v>16</v>
      </c>
      <c r="R72" s="3" t="str">
        <f>IF(ORIG[[#This Row],[using phone?]]="Y","N","Y")</f>
        <v>N</v>
      </c>
      <c r="S72" s="3" t="str">
        <f t="shared" si="7"/>
        <v>N</v>
      </c>
      <c r="T72" s="3" t="str">
        <f t="shared" si="7"/>
        <v>N</v>
      </c>
      <c r="W72" t="s">
        <v>183</v>
      </c>
      <c r="X72" s="1">
        <f>AVERAGE(F73:F82)</f>
        <v>1.3036007130126623</v>
      </c>
      <c r="AB72" s="1"/>
    </row>
    <row r="73" spans="1:28">
      <c r="A73" s="3">
        <v>72</v>
      </c>
      <c r="B73" s="5">
        <v>0.47923611111111114</v>
      </c>
      <c r="C73" s="5">
        <v>0.4794444444444444</v>
      </c>
      <c r="D73" s="7">
        <f>ORIG[[#This Row],[Exit Time]]-ORIG[[#This Row],[Entry Time]]</f>
        <v>2.0833333333325488E-4</v>
      </c>
      <c r="E73" s="9">
        <f>ORIG[[#This Row],[Time Elapsed]]*24*60*60</f>
        <v>17.999999999993221</v>
      </c>
      <c r="F73" s="4">
        <f t="shared" si="5"/>
        <v>1.3333333333338355</v>
      </c>
      <c r="G73" s="3" t="s">
        <v>75</v>
      </c>
      <c r="H73" s="3" t="s">
        <v>14</v>
      </c>
      <c r="I73" s="3">
        <f t="shared" si="6"/>
        <v>24</v>
      </c>
      <c r="J73" s="3" t="s">
        <v>15</v>
      </c>
      <c r="K73" s="3" t="s">
        <v>15</v>
      </c>
      <c r="L73" s="3" t="s">
        <v>15</v>
      </c>
      <c r="M73" s="3" t="s">
        <v>15</v>
      </c>
      <c r="N73" s="3" t="s">
        <v>15</v>
      </c>
      <c r="O73" s="3" t="s">
        <v>17</v>
      </c>
      <c r="S73" s="3" t="str">
        <f>IF(ORIG[[#This Row],[Phone Follower]]="Y","Y","N")</f>
        <v>N</v>
      </c>
    </row>
    <row r="74" spans="1:28">
      <c r="A74" s="3">
        <v>73</v>
      </c>
      <c r="B74" s="5">
        <v>0.47934027777777777</v>
      </c>
      <c r="C74" s="5">
        <v>0.47957175925925927</v>
      </c>
      <c r="D74" s="7">
        <f>ORIG[[#This Row],[Exit Time]]-ORIG[[#This Row],[Entry Time]]</f>
        <v>2.3148148148149916E-4</v>
      </c>
      <c r="E74" s="9">
        <f>ORIG[[#This Row],[Time Elapsed]]*24*60*60</f>
        <v>20.000000000001528</v>
      </c>
      <c r="F74" s="4">
        <f t="shared" si="5"/>
        <v>1.1999999999999083</v>
      </c>
      <c r="G74" s="3" t="s">
        <v>77</v>
      </c>
      <c r="H74" s="3" t="s">
        <v>14</v>
      </c>
      <c r="I74" s="3">
        <f t="shared" si="6"/>
        <v>24</v>
      </c>
      <c r="J74" s="3" t="s">
        <v>15</v>
      </c>
      <c r="K74" s="3" t="s">
        <v>15</v>
      </c>
      <c r="L74" s="3" t="s">
        <v>15</v>
      </c>
      <c r="M74" s="3" t="s">
        <v>15</v>
      </c>
      <c r="N74" s="3" t="s">
        <v>15</v>
      </c>
      <c r="O74" s="3" t="s">
        <v>20</v>
      </c>
      <c r="S74" s="3" t="str">
        <f>IF(ORIG[[#This Row],[Phone Follower]]="Y","Y","N")</f>
        <v>N</v>
      </c>
    </row>
    <row r="75" spans="1:28">
      <c r="A75" s="3">
        <v>74</v>
      </c>
      <c r="B75" s="5">
        <v>0.479525462962963</v>
      </c>
      <c r="C75" s="5">
        <v>0.47978009259259258</v>
      </c>
      <c r="D75" s="7">
        <f>ORIG[[#This Row],[Exit Time]]-ORIG[[#This Row],[Entry Time]]</f>
        <v>2.5462962962957691E-4</v>
      </c>
      <c r="E75" s="9">
        <f>ORIG[[#This Row],[Time Elapsed]]*24*60*60</f>
        <v>21.999999999995445</v>
      </c>
      <c r="F75" s="4">
        <f t="shared" si="5"/>
        <v>1.0909090909093166</v>
      </c>
      <c r="G75" s="3" t="s">
        <v>78</v>
      </c>
      <c r="H75" s="3" t="s">
        <v>14</v>
      </c>
      <c r="I75" s="3">
        <f t="shared" si="6"/>
        <v>24</v>
      </c>
      <c r="J75" s="3" t="s">
        <v>15</v>
      </c>
      <c r="K75" s="3" t="s">
        <v>15</v>
      </c>
      <c r="L75" s="3" t="s">
        <v>15</v>
      </c>
      <c r="M75" s="3" t="s">
        <v>15</v>
      </c>
      <c r="N75" s="3" t="s">
        <v>15</v>
      </c>
      <c r="O75" s="3" t="s">
        <v>20</v>
      </c>
      <c r="P75" s="3" t="s">
        <v>16</v>
      </c>
      <c r="S75" s="3" t="str">
        <f>IF(ORIG[[#This Row],[Phone Follower]]="Y","Y","N")</f>
        <v>N</v>
      </c>
    </row>
    <row r="76" spans="1:28">
      <c r="A76" s="3">
        <v>75</v>
      </c>
      <c r="B76" s="5">
        <v>0.479525462962963</v>
      </c>
      <c r="C76" s="5">
        <v>0.47973379629629626</v>
      </c>
      <c r="D76" s="7">
        <f>ORIG[[#This Row],[Exit Time]]-ORIG[[#This Row],[Entry Time]]</f>
        <v>2.0833333333325488E-4</v>
      </c>
      <c r="E76" s="9">
        <f>ORIG[[#This Row],[Time Elapsed]]*24*60*60</f>
        <v>17.999999999993221</v>
      </c>
      <c r="F76" s="4">
        <f t="shared" si="5"/>
        <v>1.3333333333338355</v>
      </c>
      <c r="G76" s="3" t="s">
        <v>79</v>
      </c>
      <c r="H76" s="3" t="s">
        <v>14</v>
      </c>
      <c r="I76" s="3">
        <f t="shared" si="6"/>
        <v>24</v>
      </c>
      <c r="J76" s="3" t="s">
        <v>15</v>
      </c>
      <c r="K76" s="3" t="s">
        <v>15</v>
      </c>
      <c r="L76" s="3" t="s">
        <v>15</v>
      </c>
      <c r="M76" s="3" t="s">
        <v>15</v>
      </c>
      <c r="N76" s="3" t="s">
        <v>15</v>
      </c>
      <c r="O76" s="3" t="s">
        <v>20</v>
      </c>
      <c r="Q76" s="3">
        <v>74</v>
      </c>
      <c r="S76" s="3" t="str">
        <f>IF(ORIG[[#This Row],[Phone Follower]]="Y","Y","N")</f>
        <v>N</v>
      </c>
    </row>
    <row r="77" spans="1:28">
      <c r="A77" s="3">
        <v>76</v>
      </c>
      <c r="B77" s="5">
        <v>0.47961805555555559</v>
      </c>
      <c r="C77" s="5">
        <v>0.4798263888888889</v>
      </c>
      <c r="D77" s="7">
        <f>ORIG[[#This Row],[Exit Time]]-ORIG[[#This Row],[Entry Time]]</f>
        <v>2.0833333333331039E-4</v>
      </c>
      <c r="E77" s="9">
        <f>ORIG[[#This Row],[Time Elapsed]]*24*60*60</f>
        <v>17.999999999998018</v>
      </c>
      <c r="F77" s="4">
        <f t="shared" si="5"/>
        <v>1.3333333333334803</v>
      </c>
      <c r="G77" s="3" t="s">
        <v>80</v>
      </c>
      <c r="H77" s="3" t="s">
        <v>14</v>
      </c>
      <c r="I77" s="3">
        <f t="shared" si="6"/>
        <v>24</v>
      </c>
      <c r="J77" s="3" t="s">
        <v>15</v>
      </c>
      <c r="K77" s="3" t="s">
        <v>15</v>
      </c>
      <c r="L77" s="3" t="s">
        <v>15</v>
      </c>
      <c r="M77" s="3" t="s">
        <v>15</v>
      </c>
      <c r="N77" s="3" t="s">
        <v>15</v>
      </c>
      <c r="O77" s="3" t="s">
        <v>20</v>
      </c>
      <c r="P77" s="3" t="s">
        <v>16</v>
      </c>
      <c r="S77" s="3" t="str">
        <f>IF(ORIG[[#This Row],[Phone Follower]]="Y","Y","N")</f>
        <v>N</v>
      </c>
    </row>
    <row r="78" spans="1:28">
      <c r="A78" s="3">
        <v>77</v>
      </c>
      <c r="B78" s="5">
        <v>0.47961805555555559</v>
      </c>
      <c r="C78" s="5">
        <v>0.47989583333333335</v>
      </c>
      <c r="D78" s="7">
        <f>ORIG[[#This Row],[Exit Time]]-ORIG[[#This Row],[Entry Time]]</f>
        <v>2.7777777777776569E-4</v>
      </c>
      <c r="E78" s="9">
        <f>ORIG[[#This Row],[Time Elapsed]]*24*60*60</f>
        <v>23.999999999998956</v>
      </c>
      <c r="F78" s="4">
        <f t="shared" si="5"/>
        <v>1.0000000000000435</v>
      </c>
      <c r="G78" s="3" t="s">
        <v>83</v>
      </c>
      <c r="H78" s="3" t="s">
        <v>14</v>
      </c>
      <c r="I78" s="3">
        <f t="shared" si="6"/>
        <v>24</v>
      </c>
      <c r="J78" s="3" t="s">
        <v>15</v>
      </c>
      <c r="K78" s="3" t="s">
        <v>16</v>
      </c>
      <c r="L78" s="3" t="s">
        <v>16</v>
      </c>
      <c r="M78" s="3" t="s">
        <v>15</v>
      </c>
      <c r="N78" s="3" t="s">
        <v>16</v>
      </c>
      <c r="O78" s="3" t="s">
        <v>17</v>
      </c>
      <c r="P78" s="3" t="s">
        <v>16</v>
      </c>
      <c r="S78" s="3" t="str">
        <f>IF(ORIG[[#This Row],[Phone Follower]]="Y","Y","N")</f>
        <v>N</v>
      </c>
      <c r="W78" t="s">
        <v>183</v>
      </c>
      <c r="X78" s="1">
        <f>AVERAGE(F79:F88)</f>
        <v>1.4059862537068395</v>
      </c>
      <c r="AB78" s="1"/>
    </row>
    <row r="79" spans="1:28">
      <c r="A79" s="3">
        <v>78</v>
      </c>
      <c r="B79" s="5">
        <v>0.47961805555555559</v>
      </c>
      <c r="C79" s="5">
        <v>0.4798263888888889</v>
      </c>
      <c r="D79" s="7">
        <f>ORIG[[#This Row],[Exit Time]]-ORIG[[#This Row],[Entry Time]]</f>
        <v>2.0833333333331039E-4</v>
      </c>
      <c r="E79" s="9">
        <f>ORIG[[#This Row],[Time Elapsed]]*24*60*60</f>
        <v>17.999999999998018</v>
      </c>
      <c r="F79" s="4">
        <f t="shared" si="5"/>
        <v>1.3333333333334803</v>
      </c>
      <c r="G79" s="3" t="s">
        <v>81</v>
      </c>
      <c r="H79" s="3" t="s">
        <v>14</v>
      </c>
      <c r="I79" s="3">
        <f t="shared" si="6"/>
        <v>24</v>
      </c>
      <c r="J79" s="3" t="s">
        <v>15</v>
      </c>
      <c r="K79" s="3" t="s">
        <v>15</v>
      </c>
      <c r="L79" s="3" t="s">
        <v>15</v>
      </c>
      <c r="M79" s="3" t="s">
        <v>15</v>
      </c>
      <c r="N79" s="3" t="s">
        <v>15</v>
      </c>
      <c r="O79" s="3" t="s">
        <v>51</v>
      </c>
      <c r="P79" s="3" t="s">
        <v>16</v>
      </c>
      <c r="S79" s="3" t="str">
        <f>IF(ORIG[[#This Row],[Phone Follower]]="Y","Y","N")</f>
        <v>N</v>
      </c>
    </row>
    <row r="80" spans="1:28">
      <c r="A80" s="3">
        <v>79</v>
      </c>
      <c r="B80" s="5">
        <v>0.47961805555555559</v>
      </c>
      <c r="C80" s="5">
        <v>0.47978009259259258</v>
      </c>
      <c r="D80" s="7">
        <f>ORIG[[#This Row],[Exit Time]]-ORIG[[#This Row],[Entry Time]]</f>
        <v>1.6203703703698835E-4</v>
      </c>
      <c r="E80" s="9">
        <f>ORIG[[#This Row],[Time Elapsed]]*24*60*60</f>
        <v>13.999999999995794</v>
      </c>
      <c r="F80" s="4">
        <f t="shared" si="5"/>
        <v>1.7142857142862293</v>
      </c>
      <c r="G80" s="3" t="s">
        <v>82</v>
      </c>
      <c r="H80" s="3" t="s">
        <v>14</v>
      </c>
      <c r="I80" s="3">
        <f t="shared" si="6"/>
        <v>24</v>
      </c>
      <c r="J80" s="3" t="s">
        <v>15</v>
      </c>
      <c r="K80" s="3" t="s">
        <v>15</v>
      </c>
      <c r="L80" s="3" t="s">
        <v>15</v>
      </c>
      <c r="M80" s="3" t="s">
        <v>15</v>
      </c>
      <c r="N80" s="3" t="s">
        <v>15</v>
      </c>
      <c r="O80" s="3" t="s">
        <v>17</v>
      </c>
      <c r="Q80" s="3" t="s">
        <v>210</v>
      </c>
      <c r="S80" s="3" t="str">
        <f>IF(ORIG[[#This Row],[Phone Follower]]="Y","Y","N")</f>
        <v>N</v>
      </c>
    </row>
    <row r="81" spans="1:30">
      <c r="A81" s="3">
        <v>80</v>
      </c>
      <c r="B81" s="5">
        <v>0.47962962962962963</v>
      </c>
      <c r="C81" s="5">
        <v>0.4798263888888889</v>
      </c>
      <c r="D81" s="7">
        <f>ORIG[[#This Row],[Exit Time]]-ORIG[[#This Row],[Entry Time]]</f>
        <v>1.9675925925927151E-4</v>
      </c>
      <c r="E81" s="9">
        <f>ORIG[[#This Row],[Time Elapsed]]*24*60*60</f>
        <v>17.000000000001059</v>
      </c>
      <c r="F81" s="4">
        <f t="shared" si="5"/>
        <v>1.4117647058822651</v>
      </c>
      <c r="G81" s="3" t="s">
        <v>86</v>
      </c>
      <c r="H81" s="3" t="s">
        <v>14</v>
      </c>
      <c r="I81" s="3">
        <f t="shared" si="6"/>
        <v>24</v>
      </c>
      <c r="J81" s="3" t="s">
        <v>15</v>
      </c>
      <c r="K81" s="3" t="s">
        <v>15</v>
      </c>
      <c r="L81" s="3" t="s">
        <v>15</v>
      </c>
      <c r="M81" s="3" t="s">
        <v>15</v>
      </c>
      <c r="N81" s="3" t="s">
        <v>15</v>
      </c>
      <c r="O81" s="3" t="s">
        <v>51</v>
      </c>
      <c r="P81" s="3" t="s">
        <v>16</v>
      </c>
      <c r="Q81" s="3" t="s">
        <v>211</v>
      </c>
      <c r="S81" s="3" t="str">
        <f>IF(ORIG[[#This Row],[Phone Follower]]="Y","Y","N")</f>
        <v>N</v>
      </c>
    </row>
    <row r="82" spans="1:30" hidden="1">
      <c r="A82" s="3">
        <v>81</v>
      </c>
      <c r="B82" s="5">
        <v>0.47967592592592595</v>
      </c>
      <c r="C82" s="5">
        <v>0.47983796296296299</v>
      </c>
      <c r="D82" s="7">
        <f>ORIG[[#This Row],[Exit Time]]-ORIG[[#This Row],[Entry Time]]</f>
        <v>1.6203703703704386E-4</v>
      </c>
      <c r="E82" s="9">
        <f>ORIG[[#This Row],[Time Elapsed]]*24*60*60</f>
        <v>14.00000000000059</v>
      </c>
      <c r="F82" s="4">
        <f t="shared" si="5"/>
        <v>1.2857142857142316</v>
      </c>
      <c r="G82" s="3" t="s">
        <v>85</v>
      </c>
      <c r="H82" s="3" t="s">
        <v>19</v>
      </c>
      <c r="I82" s="3">
        <f t="shared" si="6"/>
        <v>18</v>
      </c>
      <c r="J82" s="3" t="s">
        <v>15</v>
      </c>
      <c r="K82" s="3" t="s">
        <v>15</v>
      </c>
      <c r="L82" s="3" t="s">
        <v>15</v>
      </c>
      <c r="M82" s="3" t="s">
        <v>15</v>
      </c>
      <c r="N82" s="3" t="s">
        <v>16</v>
      </c>
      <c r="O82" s="3" t="s">
        <v>51</v>
      </c>
      <c r="R82" s="3" t="str">
        <f>IF(ORIG[[#This Row],[using phone?]]="Y","N","Y")</f>
        <v>Y</v>
      </c>
      <c r="S82" s="3" t="str">
        <f>IF(R79="Y","Y","N")</f>
        <v>N</v>
      </c>
      <c r="T82" s="3" t="str">
        <f>IF(S79="Y","Y","N")</f>
        <v>N</v>
      </c>
    </row>
    <row r="83" spans="1:30">
      <c r="A83" s="3">
        <v>82</v>
      </c>
      <c r="B83" s="5">
        <v>0.47968749999999999</v>
      </c>
      <c r="C83" s="5">
        <v>0.47997685185185185</v>
      </c>
      <c r="D83" s="7">
        <f>ORIG[[#This Row],[Exit Time]]-ORIG[[#This Row],[Entry Time]]</f>
        <v>2.8935185185186008E-4</v>
      </c>
      <c r="E83" s="9">
        <f>ORIG[[#This Row],[Time Elapsed]]*24*60*60</f>
        <v>25.000000000000711</v>
      </c>
      <c r="F83" s="4">
        <f t="shared" si="5"/>
        <v>0.95999999999997276</v>
      </c>
      <c r="G83" s="3" t="s">
        <v>84</v>
      </c>
      <c r="H83" s="3" t="s">
        <v>14</v>
      </c>
      <c r="I83" s="3">
        <f t="shared" si="6"/>
        <v>24</v>
      </c>
      <c r="J83" s="3" t="s">
        <v>15</v>
      </c>
      <c r="K83" s="3" t="s">
        <v>16</v>
      </c>
      <c r="L83" s="3" t="s">
        <v>16</v>
      </c>
      <c r="M83" s="3" t="s">
        <v>15</v>
      </c>
      <c r="N83" s="3" t="s">
        <v>16</v>
      </c>
      <c r="O83" s="3" t="s">
        <v>51</v>
      </c>
      <c r="S83" s="3" t="str">
        <f>IF(ORIG[[#This Row],[Phone Follower]]="Y","Y","N")</f>
        <v>N</v>
      </c>
      <c r="W83" t="s">
        <v>183</v>
      </c>
      <c r="X83" s="1">
        <f>AVERAGE(F84:F93)</f>
        <v>1.378716962133256</v>
      </c>
      <c r="AB83" s="1"/>
    </row>
    <row r="84" spans="1:30">
      <c r="A84" s="3">
        <v>83</v>
      </c>
      <c r="B84" s="5">
        <v>0.47972222222222222</v>
      </c>
      <c r="C84" s="5">
        <v>0.47998842592592594</v>
      </c>
      <c r="D84" s="7">
        <f>ORIG[[#This Row],[Exit Time]]-ORIG[[#This Row],[Entry Time]]</f>
        <v>2.6620370370372681E-4</v>
      </c>
      <c r="E84" s="9">
        <f>ORIG[[#This Row],[Time Elapsed]]*24*60*60</f>
        <v>23.000000000001997</v>
      </c>
      <c r="F84" s="4">
        <f t="shared" si="5"/>
        <v>1.0434782608694746</v>
      </c>
      <c r="G84" s="3" t="s">
        <v>87</v>
      </c>
      <c r="H84" s="3" t="s">
        <v>14</v>
      </c>
      <c r="I84" s="3">
        <f t="shared" si="6"/>
        <v>24</v>
      </c>
      <c r="J84" s="3" t="s">
        <v>15</v>
      </c>
      <c r="K84" s="3" t="s">
        <v>15</v>
      </c>
      <c r="L84" s="3" t="s">
        <v>15</v>
      </c>
      <c r="M84" s="3" t="s">
        <v>15</v>
      </c>
      <c r="N84" s="3" t="s">
        <v>15</v>
      </c>
      <c r="O84" s="3" t="s">
        <v>17</v>
      </c>
      <c r="S84" s="3" t="str">
        <f>IF(ORIG[[#This Row],[Phone Follower]]="Y","Y","N")</f>
        <v>N</v>
      </c>
    </row>
    <row r="85" spans="1:30" hidden="1">
      <c r="A85" s="3">
        <v>84</v>
      </c>
      <c r="B85" s="5">
        <v>0.47974537037037041</v>
      </c>
      <c r="C85" s="5">
        <v>0.47987268518518517</v>
      </c>
      <c r="D85" s="7">
        <f>ORIG[[#This Row],[Exit Time]]-ORIG[[#This Row],[Entry Time]]</f>
        <v>1.273148148147607E-4</v>
      </c>
      <c r="E85" s="9">
        <f>ORIG[[#This Row],[Time Elapsed]]*24*60*60</f>
        <v>10.999999999995325</v>
      </c>
      <c r="F85" s="4">
        <f t="shared" si="5"/>
        <v>1.6363636363643319</v>
      </c>
      <c r="G85" s="3" t="s">
        <v>88</v>
      </c>
      <c r="H85" s="3" t="s">
        <v>19</v>
      </c>
      <c r="I85" s="3">
        <f t="shared" si="6"/>
        <v>18</v>
      </c>
      <c r="J85" s="3" t="s">
        <v>15</v>
      </c>
      <c r="K85" s="3" t="s">
        <v>15</v>
      </c>
      <c r="L85" s="3" t="s">
        <v>15</v>
      </c>
      <c r="M85" s="3" t="s">
        <v>15</v>
      </c>
      <c r="N85" s="3" t="s">
        <v>15</v>
      </c>
      <c r="O85" s="3" t="s">
        <v>17</v>
      </c>
      <c r="R85" s="3" t="str">
        <f>IF(ORIG[[#This Row],[using phone?]]="Y","N","Y")</f>
        <v>Y</v>
      </c>
      <c r="S85" s="3" t="str">
        <f>IF(R82="Y","Y","N")</f>
        <v>Y</v>
      </c>
      <c r="T85" s="3" t="str">
        <f>IF(S82="Y","Y","N")</f>
        <v>N</v>
      </c>
    </row>
    <row r="86" spans="1:30">
      <c r="A86" s="3">
        <v>85</v>
      </c>
      <c r="B86" s="5">
        <v>0.47983796296296299</v>
      </c>
      <c r="C86" s="5">
        <v>0.4800578703703704</v>
      </c>
      <c r="D86" s="7">
        <f>ORIG[[#This Row],[Exit Time]]-ORIG[[#This Row],[Entry Time]]</f>
        <v>2.1990740740740478E-4</v>
      </c>
      <c r="E86" s="9">
        <f>ORIG[[#This Row],[Time Elapsed]]*24*60*60</f>
        <v>18.999999999999773</v>
      </c>
      <c r="F86" s="4">
        <f t="shared" si="5"/>
        <v>1.2631578947368571</v>
      </c>
      <c r="G86" s="3" t="s">
        <v>89</v>
      </c>
      <c r="H86" s="3" t="s">
        <v>14</v>
      </c>
      <c r="I86" s="3">
        <f t="shared" si="6"/>
        <v>24</v>
      </c>
      <c r="J86" s="3" t="s">
        <v>15</v>
      </c>
      <c r="K86" s="3" t="s">
        <v>16</v>
      </c>
      <c r="L86" s="3" t="s">
        <v>16</v>
      </c>
      <c r="M86" s="3" t="s">
        <v>15</v>
      </c>
      <c r="N86" s="3" t="s">
        <v>16</v>
      </c>
      <c r="O86" s="3" t="s">
        <v>51</v>
      </c>
      <c r="S86" s="3" t="str">
        <f>IF(ORIG[[#This Row],[Phone Follower]]="Y","Y","N")</f>
        <v>N</v>
      </c>
      <c r="W86" t="s">
        <v>183</v>
      </c>
      <c r="X86" s="1">
        <f>AVERAGE(F87:F96)</f>
        <v>1.2987026972218811</v>
      </c>
      <c r="AB86" s="1"/>
    </row>
    <row r="87" spans="1:30">
      <c r="A87" s="3">
        <v>86</v>
      </c>
      <c r="B87" s="5">
        <v>0.47990740740740739</v>
      </c>
      <c r="C87" s="5">
        <v>0.48010416666666672</v>
      </c>
      <c r="D87" s="7">
        <f>ORIG[[#This Row],[Exit Time]]-ORIG[[#This Row],[Entry Time]]</f>
        <v>1.9675925925932702E-4</v>
      </c>
      <c r="E87" s="9">
        <f>ORIG[[#This Row],[Time Elapsed]]*24*60*60</f>
        <v>17.000000000005855</v>
      </c>
      <c r="F87" s="4">
        <f t="shared" si="5"/>
        <v>1.4117647058818668</v>
      </c>
      <c r="G87" s="3" t="s">
        <v>93</v>
      </c>
      <c r="H87" s="3" t="s">
        <v>14</v>
      </c>
      <c r="I87" s="3">
        <f t="shared" si="6"/>
        <v>24</v>
      </c>
      <c r="J87" s="3" t="s">
        <v>15</v>
      </c>
      <c r="K87" s="3" t="s">
        <v>15</v>
      </c>
      <c r="L87" s="3" t="s">
        <v>15</v>
      </c>
      <c r="M87" s="3" t="s">
        <v>15</v>
      </c>
      <c r="N87" s="3" t="s">
        <v>16</v>
      </c>
      <c r="O87" s="3" t="s">
        <v>51</v>
      </c>
      <c r="P87" s="3" t="s">
        <v>16</v>
      </c>
      <c r="S87" s="3" t="str">
        <f>IF(ORIG[[#This Row],[Phone Follower]]="Y","Y","N")</f>
        <v>N</v>
      </c>
    </row>
    <row r="88" spans="1:30">
      <c r="A88" s="3">
        <v>87</v>
      </c>
      <c r="B88" s="5">
        <v>0.47993055555555553</v>
      </c>
      <c r="C88" s="5">
        <v>0.48006944444444444</v>
      </c>
      <c r="D88" s="7">
        <f>ORIG[[#This Row],[Exit Time]]-ORIG[[#This Row],[Entry Time]]</f>
        <v>1.388888888889106E-4</v>
      </c>
      <c r="E88" s="9">
        <f>ORIG[[#This Row],[Time Elapsed]]*24*60*60</f>
        <v>12.000000000001876</v>
      </c>
      <c r="F88" s="4">
        <f t="shared" si="5"/>
        <v>1.9999999999996874</v>
      </c>
      <c r="G88" s="3" t="s">
        <v>94</v>
      </c>
      <c r="H88" s="3" t="s">
        <v>14</v>
      </c>
      <c r="I88" s="3">
        <f t="shared" si="6"/>
        <v>24</v>
      </c>
      <c r="J88" s="3" t="s">
        <v>15</v>
      </c>
      <c r="K88" s="3" t="s">
        <v>15</v>
      </c>
      <c r="L88" s="3" t="s">
        <v>15</v>
      </c>
      <c r="M88" s="3" t="s">
        <v>15</v>
      </c>
      <c r="N88" s="3" t="s">
        <v>15</v>
      </c>
      <c r="O88" s="3" t="s">
        <v>17</v>
      </c>
      <c r="Q88" s="3">
        <v>86</v>
      </c>
      <c r="S88" s="3" t="str">
        <f>IF(ORIG[[#This Row],[Phone Follower]]="Y","Y","N")</f>
        <v>N</v>
      </c>
    </row>
    <row r="89" spans="1:30">
      <c r="A89" s="3">
        <v>88</v>
      </c>
      <c r="B89" s="5">
        <v>0.47994212962962962</v>
      </c>
      <c r="C89" s="5">
        <v>0.48010416666666672</v>
      </c>
      <c r="D89" s="7">
        <f>ORIG[[#This Row],[Exit Time]]-ORIG[[#This Row],[Entry Time]]</f>
        <v>1.6203703703709937E-4</v>
      </c>
      <c r="E89" s="9">
        <f>ORIG[[#This Row],[Time Elapsed]]*24*60*60</f>
        <v>14.000000000005386</v>
      </c>
      <c r="F89" s="4">
        <f t="shared" si="5"/>
        <v>1.7142857142850547</v>
      </c>
      <c r="G89" s="3" t="s">
        <v>95</v>
      </c>
      <c r="H89" s="3" t="s">
        <v>14</v>
      </c>
      <c r="I89" s="3">
        <f t="shared" si="6"/>
        <v>24</v>
      </c>
      <c r="J89" s="3" t="s">
        <v>15</v>
      </c>
      <c r="K89" s="3" t="s">
        <v>16</v>
      </c>
      <c r="L89" s="3" t="s">
        <v>15</v>
      </c>
      <c r="M89" s="3" t="s">
        <v>16</v>
      </c>
      <c r="N89" s="3" t="s">
        <v>16</v>
      </c>
      <c r="O89" s="3" t="s">
        <v>17</v>
      </c>
      <c r="S89" s="3" t="str">
        <f>IF(ORIG[[#This Row],[Phone Follower]]="Y","Y","N")</f>
        <v>N</v>
      </c>
      <c r="Y89" t="s">
        <v>183</v>
      </c>
      <c r="Z89" s="1">
        <f>AVERAGE(F90:F99)</f>
        <v>1.0751885642961496</v>
      </c>
      <c r="AA89" s="1"/>
      <c r="AB89" s="1"/>
      <c r="AC89" s="1"/>
      <c r="AD89" s="1"/>
    </row>
    <row r="90" spans="1:30">
      <c r="A90" s="3">
        <v>89</v>
      </c>
      <c r="B90" s="5">
        <v>0.47998842592592594</v>
      </c>
      <c r="C90" s="5">
        <v>0.48025462962962967</v>
      </c>
      <c r="D90" s="7">
        <f>ORIG[[#This Row],[Exit Time]]-ORIG[[#This Row],[Entry Time]]</f>
        <v>2.6620370370372681E-4</v>
      </c>
      <c r="E90" s="9">
        <f>ORIG[[#This Row],[Time Elapsed]]*24*60*60</f>
        <v>23.000000000001997</v>
      </c>
      <c r="F90" s="4">
        <f t="shared" si="5"/>
        <v>1.0434782608694746</v>
      </c>
      <c r="G90" s="3" t="s">
        <v>96</v>
      </c>
      <c r="H90" s="3" t="s">
        <v>14</v>
      </c>
      <c r="I90" s="3">
        <f t="shared" si="6"/>
        <v>24</v>
      </c>
      <c r="J90" s="3" t="s">
        <v>15</v>
      </c>
      <c r="K90" s="3" t="s">
        <v>15</v>
      </c>
      <c r="L90" s="3" t="s">
        <v>15</v>
      </c>
      <c r="M90" s="3" t="s">
        <v>15</v>
      </c>
      <c r="N90" s="3" t="s">
        <v>15</v>
      </c>
      <c r="O90" s="3" t="s">
        <v>51</v>
      </c>
      <c r="S90" s="3" t="str">
        <f>IF(ORIG[[#This Row],[Phone Follower]]="Y","Y","N")</f>
        <v>N</v>
      </c>
    </row>
    <row r="91" spans="1:30" hidden="1">
      <c r="A91" s="3">
        <v>90</v>
      </c>
      <c r="B91" s="5">
        <v>0.47998842592592594</v>
      </c>
      <c r="C91" s="5">
        <v>0.48020833333333335</v>
      </c>
      <c r="D91" s="7">
        <f>ORIG[[#This Row],[Exit Time]]-ORIG[[#This Row],[Entry Time]]</f>
        <v>2.1990740740740478E-4</v>
      </c>
      <c r="E91" s="9">
        <f>ORIG[[#This Row],[Time Elapsed]]*24*60*60</f>
        <v>18.999999999999773</v>
      </c>
      <c r="F91" s="4">
        <f t="shared" si="5"/>
        <v>0.94736842105264296</v>
      </c>
      <c r="G91" s="3" t="s">
        <v>97</v>
      </c>
      <c r="H91" s="3" t="s">
        <v>19</v>
      </c>
      <c r="I91" s="3">
        <f t="shared" si="6"/>
        <v>18</v>
      </c>
      <c r="J91" s="3" t="s">
        <v>15</v>
      </c>
      <c r="K91" s="3" t="s">
        <v>15</v>
      </c>
      <c r="L91" s="3" t="s">
        <v>15</v>
      </c>
      <c r="M91" s="3" t="s">
        <v>15</v>
      </c>
      <c r="N91" s="3" t="s">
        <v>15</v>
      </c>
      <c r="O91" s="3" t="s">
        <v>17</v>
      </c>
      <c r="P91" s="3" t="s">
        <v>16</v>
      </c>
      <c r="R91" s="3" t="str">
        <f>IF(ORIG[[#This Row],[using phone?]]="Y","N","Y")</f>
        <v>Y</v>
      </c>
      <c r="S91" s="3" t="str">
        <f>IF(R88="Y","Y","N")</f>
        <v>N</v>
      </c>
      <c r="T91" s="3" t="str">
        <f>IF(S88="Y","Y","N")</f>
        <v>N</v>
      </c>
    </row>
    <row r="92" spans="1:30">
      <c r="A92" s="3">
        <v>91</v>
      </c>
      <c r="B92" s="5">
        <v>0.48002314814814812</v>
      </c>
      <c r="C92" s="5">
        <v>0.4802777777777778</v>
      </c>
      <c r="D92" s="7">
        <f>ORIG[[#This Row],[Exit Time]]-ORIG[[#This Row],[Entry Time]]</f>
        <v>2.5462962962968794E-4</v>
      </c>
      <c r="E92" s="9">
        <f>ORIG[[#This Row],[Time Elapsed]]*24*60*60</f>
        <v>22.000000000005038</v>
      </c>
      <c r="F92" s="4">
        <f t="shared" si="5"/>
        <v>1.090909090908841</v>
      </c>
      <c r="G92" s="3" t="s">
        <v>98</v>
      </c>
      <c r="H92" s="3" t="s">
        <v>14</v>
      </c>
      <c r="I92" s="3">
        <f t="shared" si="6"/>
        <v>24</v>
      </c>
      <c r="J92" s="3" t="s">
        <v>15</v>
      </c>
      <c r="K92" s="3" t="s">
        <v>15</v>
      </c>
      <c r="L92" s="3" t="s">
        <v>15</v>
      </c>
      <c r="M92" s="3" t="s">
        <v>15</v>
      </c>
      <c r="N92" s="3" t="s">
        <v>15</v>
      </c>
      <c r="O92" s="3" t="s">
        <v>51</v>
      </c>
      <c r="S92" s="3" t="str">
        <f>IF(ORIG[[#This Row],[Phone Follower]]="Y","Y","N")</f>
        <v>N</v>
      </c>
    </row>
    <row r="93" spans="1:30" hidden="1">
      <c r="A93" s="3">
        <v>92</v>
      </c>
      <c r="B93" s="5">
        <v>0.4800462962962963</v>
      </c>
      <c r="C93" s="5">
        <v>0.48017361111111106</v>
      </c>
      <c r="D93" s="7">
        <f>ORIG[[#This Row],[Exit Time]]-ORIG[[#This Row],[Entry Time]]</f>
        <v>1.273148148147607E-4</v>
      </c>
      <c r="E93" s="9">
        <f>ORIG[[#This Row],[Time Elapsed]]*24*60*60</f>
        <v>10.999999999995325</v>
      </c>
      <c r="F93" s="4">
        <f t="shared" si="5"/>
        <v>1.6363636363643319</v>
      </c>
      <c r="G93" s="3" t="s">
        <v>101</v>
      </c>
      <c r="H93" s="3" t="s">
        <v>19</v>
      </c>
      <c r="I93" s="3">
        <f t="shared" si="6"/>
        <v>18</v>
      </c>
      <c r="J93" s="3" t="s">
        <v>15</v>
      </c>
      <c r="K93" s="3" t="s">
        <v>15</v>
      </c>
      <c r="L93" s="3" t="s">
        <v>15</v>
      </c>
      <c r="M93" s="3" t="s">
        <v>15</v>
      </c>
      <c r="N93" s="3" t="s">
        <v>16</v>
      </c>
      <c r="O93" s="3" t="s">
        <v>51</v>
      </c>
      <c r="Q93" s="3" t="s">
        <v>212</v>
      </c>
      <c r="R93" s="3" t="str">
        <f>IF(ORIG[[#This Row],[using phone?]]="Y","N","Y")</f>
        <v>Y</v>
      </c>
      <c r="S93" s="3" t="str">
        <f>IF(R90="Y","Y","N")</f>
        <v>N</v>
      </c>
      <c r="T93" s="3" t="str">
        <f>IF(S90="Y","Y","N")</f>
        <v>N</v>
      </c>
    </row>
    <row r="94" spans="1:30">
      <c r="A94" s="3">
        <v>93</v>
      </c>
      <c r="B94" s="5">
        <v>0.48006944444444444</v>
      </c>
      <c r="C94" s="5">
        <v>0.48031249999999998</v>
      </c>
      <c r="D94" s="7">
        <f>ORIG[[#This Row],[Exit Time]]-ORIG[[#This Row],[Entry Time]]</f>
        <v>2.4305555555553804E-4</v>
      </c>
      <c r="E94" s="9">
        <f>ORIG[[#This Row],[Time Elapsed]]*24*60*60</f>
        <v>20.999999999998487</v>
      </c>
      <c r="F94" s="4">
        <f t="shared" si="5"/>
        <v>1.1428571428572252</v>
      </c>
      <c r="G94" s="3" t="s">
        <v>99</v>
      </c>
      <c r="H94" s="3" t="s">
        <v>14</v>
      </c>
      <c r="I94" s="3">
        <f t="shared" si="6"/>
        <v>24</v>
      </c>
      <c r="J94" s="3" t="s">
        <v>15</v>
      </c>
      <c r="K94" s="3" t="s">
        <v>15</v>
      </c>
      <c r="L94" s="3" t="s">
        <v>15</v>
      </c>
      <c r="M94" s="3" t="s">
        <v>15</v>
      </c>
      <c r="N94" s="3" t="s">
        <v>15</v>
      </c>
      <c r="O94" s="3" t="s">
        <v>51</v>
      </c>
      <c r="S94" s="3" t="str">
        <f>IF(ORIG[[#This Row],[Phone Follower]]="Y","Y","N")</f>
        <v>N</v>
      </c>
    </row>
    <row r="95" spans="1:30" hidden="1">
      <c r="A95" s="3">
        <v>94</v>
      </c>
      <c r="B95" s="5">
        <v>0.48006944444444444</v>
      </c>
      <c r="C95" s="5">
        <v>0.4802777777777778</v>
      </c>
      <c r="D95" s="7">
        <f>ORIG[[#This Row],[Exit Time]]-ORIG[[#This Row],[Entry Time]]</f>
        <v>2.083333333333659E-4</v>
      </c>
      <c r="E95" s="9">
        <f>ORIG[[#This Row],[Time Elapsed]]*24*60*60</f>
        <v>18.000000000002814</v>
      </c>
      <c r="F95" s="4">
        <f t="shared" si="5"/>
        <v>0.99999999999984368</v>
      </c>
      <c r="G95" s="3" t="s">
        <v>102</v>
      </c>
      <c r="H95" s="3" t="s">
        <v>19</v>
      </c>
      <c r="I95" s="3">
        <f t="shared" si="6"/>
        <v>18</v>
      </c>
      <c r="J95" s="3" t="s">
        <v>16</v>
      </c>
      <c r="K95" s="3" t="s">
        <v>15</v>
      </c>
      <c r="L95" s="3" t="s">
        <v>15</v>
      </c>
      <c r="M95" s="3" t="s">
        <v>15</v>
      </c>
      <c r="N95" s="3" t="s">
        <v>15</v>
      </c>
      <c r="O95" s="3" t="s">
        <v>17</v>
      </c>
      <c r="P95" s="3" t="s">
        <v>16</v>
      </c>
      <c r="R95" s="3" t="str">
        <f>IF(ORIG[[#This Row],[using phone?]]="Y","N","Y")</f>
        <v>Y</v>
      </c>
      <c r="S95" s="3" t="str">
        <f t="shared" ref="S95:T97" si="8">IF(R92="Y","Y","N")</f>
        <v>N</v>
      </c>
      <c r="T95" s="3" t="str">
        <f t="shared" si="8"/>
        <v>N</v>
      </c>
      <c r="AA95" t="s">
        <v>183</v>
      </c>
      <c r="AB95" s="1">
        <f>AVERAGE(F100:F109)</f>
        <v>1.0631906406287868</v>
      </c>
    </row>
    <row r="96" spans="1:30" hidden="1">
      <c r="A96" s="3">
        <v>95</v>
      </c>
      <c r="B96" s="5">
        <v>0.48006944444444444</v>
      </c>
      <c r="C96" s="5">
        <v>0.4802777777777778</v>
      </c>
      <c r="D96" s="7">
        <f>ORIG[[#This Row],[Exit Time]]-ORIG[[#This Row],[Entry Time]]</f>
        <v>2.083333333333659E-4</v>
      </c>
      <c r="E96" s="9">
        <f>ORIG[[#This Row],[Time Elapsed]]*24*60*60</f>
        <v>18.000000000002814</v>
      </c>
      <c r="F96" s="4">
        <f t="shared" si="5"/>
        <v>0.99999999999984368</v>
      </c>
      <c r="G96" s="3" t="s">
        <v>103</v>
      </c>
      <c r="H96" s="3" t="s">
        <v>19</v>
      </c>
      <c r="I96" s="3">
        <f t="shared" si="6"/>
        <v>18</v>
      </c>
      <c r="J96" s="3" t="s">
        <v>16</v>
      </c>
      <c r="K96" s="3" t="s">
        <v>15</v>
      </c>
      <c r="L96" s="3" t="s">
        <v>15</v>
      </c>
      <c r="M96" s="3" t="s">
        <v>15</v>
      </c>
      <c r="N96" s="3" t="s">
        <v>15</v>
      </c>
      <c r="O96" s="3" t="s">
        <v>17</v>
      </c>
      <c r="P96" s="3" t="s">
        <v>16</v>
      </c>
      <c r="R96" s="3" t="str">
        <f>IF(ORIG[[#This Row],[using phone?]]="Y","N","Y")</f>
        <v>Y</v>
      </c>
      <c r="S96" s="3" t="str">
        <f t="shared" si="8"/>
        <v>Y</v>
      </c>
      <c r="T96" s="3" t="str">
        <f t="shared" si="8"/>
        <v>N</v>
      </c>
      <c r="AA96" t="s">
        <v>183</v>
      </c>
      <c r="AB96" s="1">
        <f>AVERAGE(F101:F110)</f>
        <v>1.0568748511550921</v>
      </c>
    </row>
    <row r="97" spans="1:30" hidden="1">
      <c r="A97" s="3">
        <v>96</v>
      </c>
      <c r="B97" s="5">
        <v>0.48006944444444444</v>
      </c>
      <c r="C97" s="5">
        <v>0.4802777777777778</v>
      </c>
      <c r="D97" s="7">
        <f>ORIG[[#This Row],[Exit Time]]-ORIG[[#This Row],[Entry Time]]</f>
        <v>2.083333333333659E-4</v>
      </c>
      <c r="E97" s="9">
        <f>ORIG[[#This Row],[Time Elapsed]]*24*60*60</f>
        <v>18.000000000002814</v>
      </c>
      <c r="F97" s="4">
        <f t="shared" si="5"/>
        <v>0.99999999999984368</v>
      </c>
      <c r="G97" s="3" t="s">
        <v>104</v>
      </c>
      <c r="H97" s="3" t="s">
        <v>19</v>
      </c>
      <c r="I97" s="3">
        <f t="shared" si="6"/>
        <v>18</v>
      </c>
      <c r="J97" s="3" t="s">
        <v>16</v>
      </c>
      <c r="K97" s="3" t="s">
        <v>15</v>
      </c>
      <c r="L97" s="3" t="s">
        <v>15</v>
      </c>
      <c r="M97" s="3" t="s">
        <v>15</v>
      </c>
      <c r="N97" s="3" t="s">
        <v>15</v>
      </c>
      <c r="O97" s="3" t="s">
        <v>17</v>
      </c>
      <c r="P97" s="3" t="s">
        <v>16</v>
      </c>
      <c r="R97" s="3" t="str">
        <f>IF(ORIG[[#This Row],[using phone?]]="Y","N","Y")</f>
        <v>Y</v>
      </c>
      <c r="S97" s="3" t="str">
        <f t="shared" si="8"/>
        <v>N</v>
      </c>
      <c r="T97" s="3" t="str">
        <f t="shared" si="8"/>
        <v>N</v>
      </c>
      <c r="AA97" t="s">
        <v>183</v>
      </c>
      <c r="AB97" s="1">
        <f>AVERAGE(F102:F111)</f>
        <v>1.0664858351367752</v>
      </c>
    </row>
    <row r="98" spans="1:30">
      <c r="A98" s="3">
        <v>97</v>
      </c>
      <c r="B98" s="5">
        <v>0.48010416666666672</v>
      </c>
      <c r="C98" s="5">
        <v>0.4803587962962963</v>
      </c>
      <c r="D98" s="7">
        <f>ORIG[[#This Row],[Exit Time]]-ORIG[[#This Row],[Entry Time]]</f>
        <v>2.5462962962957691E-4</v>
      </c>
      <c r="E98" s="9">
        <f>ORIG[[#This Row],[Time Elapsed]]*24*60*60</f>
        <v>21.999999999995445</v>
      </c>
      <c r="F98" s="4">
        <f t="shared" ref="F98:F129" si="9">I98/E98</f>
        <v>1.0909090909093166</v>
      </c>
      <c r="G98" s="3" t="s">
        <v>100</v>
      </c>
      <c r="H98" s="3" t="s">
        <v>14</v>
      </c>
      <c r="I98" s="3">
        <f t="shared" ref="I98:I129" si="10">IF(H98="away", $AE$1, $AF$1)</f>
        <v>24</v>
      </c>
      <c r="J98" s="3" t="s">
        <v>15</v>
      </c>
      <c r="K98" s="3" t="s">
        <v>15</v>
      </c>
      <c r="L98" s="3" t="s">
        <v>15</v>
      </c>
      <c r="M98" s="3" t="s">
        <v>15</v>
      </c>
      <c r="N98" s="3" t="s">
        <v>16</v>
      </c>
      <c r="O98" s="3" t="s">
        <v>51</v>
      </c>
      <c r="S98" s="3" t="str">
        <f>IF(ORIG[[#This Row],[Phone Follower]]="Y","Y","N")</f>
        <v>N</v>
      </c>
    </row>
    <row r="99" spans="1:30">
      <c r="A99" s="3">
        <v>98</v>
      </c>
      <c r="B99" s="5">
        <v>0.48018518518518521</v>
      </c>
      <c r="C99" s="5">
        <v>0.48053240740740738</v>
      </c>
      <c r="D99" s="7">
        <f>ORIG[[#This Row],[Exit Time]]-ORIG[[#This Row],[Entry Time]]</f>
        <v>3.4722222222216548E-4</v>
      </c>
      <c r="E99" s="9">
        <f>ORIG[[#This Row],[Time Elapsed]]*24*60*60</f>
        <v>29.999999999995097</v>
      </c>
      <c r="F99" s="4">
        <f t="shared" si="9"/>
        <v>0.80000000000013072</v>
      </c>
      <c r="G99" s="3" t="s">
        <v>105</v>
      </c>
      <c r="H99" s="3" t="s">
        <v>14</v>
      </c>
      <c r="I99" s="3">
        <f t="shared" si="10"/>
        <v>24</v>
      </c>
      <c r="J99" s="3" t="s">
        <v>15</v>
      </c>
      <c r="K99" s="3" t="s">
        <v>16</v>
      </c>
      <c r="L99" s="3" t="s">
        <v>16</v>
      </c>
      <c r="M99" s="3" t="s">
        <v>15</v>
      </c>
      <c r="N99" s="3" t="s">
        <v>16</v>
      </c>
      <c r="O99" s="3" t="s">
        <v>51</v>
      </c>
      <c r="S99" s="3" t="str">
        <f>IF(ORIG[[#This Row],[Phone Follower]]="Y","Y","N")</f>
        <v>N</v>
      </c>
      <c r="W99" t="s">
        <v>183</v>
      </c>
      <c r="X99" s="1">
        <f>AVERAGE(F100:F109)</f>
        <v>1.0631906406287868</v>
      </c>
    </row>
    <row r="100" spans="1:30">
      <c r="A100" s="3">
        <v>99</v>
      </c>
      <c r="B100" s="5">
        <v>0.48023148148148148</v>
      </c>
      <c r="C100" s="5">
        <v>0.48045138888888889</v>
      </c>
      <c r="D100" s="7">
        <f>ORIG[[#This Row],[Exit Time]]-ORIG[[#This Row],[Entry Time]]</f>
        <v>2.1990740740740478E-4</v>
      </c>
      <c r="E100" s="9">
        <f>ORIG[[#This Row],[Time Elapsed]]*24*60*60</f>
        <v>18.999999999999773</v>
      </c>
      <c r="F100" s="4">
        <f t="shared" si="9"/>
        <v>1.2631578947368571</v>
      </c>
      <c r="G100" s="3" t="s">
        <v>106</v>
      </c>
      <c r="H100" s="3" t="s">
        <v>14</v>
      </c>
      <c r="I100" s="3">
        <f t="shared" si="10"/>
        <v>24</v>
      </c>
      <c r="J100" s="3" t="s">
        <v>15</v>
      </c>
      <c r="K100" s="3" t="s">
        <v>15</v>
      </c>
      <c r="L100" s="3" t="s">
        <v>15</v>
      </c>
      <c r="M100" s="3" t="s">
        <v>15</v>
      </c>
      <c r="N100" s="3" t="s">
        <v>15</v>
      </c>
      <c r="O100" s="3" t="s">
        <v>51</v>
      </c>
      <c r="S100" s="3" t="str">
        <f>IF(ORIG[[#This Row],[Phone Follower]]="Y","Y","N")</f>
        <v>N</v>
      </c>
    </row>
    <row r="101" spans="1:30" hidden="1">
      <c r="A101" s="3">
        <v>100</v>
      </c>
      <c r="B101" s="5">
        <v>0.48025462962962967</v>
      </c>
      <c r="C101" s="5">
        <v>0.48047453703703707</v>
      </c>
      <c r="D101" s="7">
        <f>ORIG[[#This Row],[Exit Time]]-ORIG[[#This Row],[Entry Time]]</f>
        <v>2.1990740740740478E-4</v>
      </c>
      <c r="E101" s="9">
        <f>ORIG[[#This Row],[Time Elapsed]]*24*60*60</f>
        <v>18.999999999999773</v>
      </c>
      <c r="F101" s="4">
        <f t="shared" si="9"/>
        <v>0.94736842105264296</v>
      </c>
      <c r="G101" s="3" t="s">
        <v>107</v>
      </c>
      <c r="H101" s="3" t="s">
        <v>19</v>
      </c>
      <c r="I101" s="3">
        <f t="shared" si="10"/>
        <v>18</v>
      </c>
      <c r="J101" s="3" t="s">
        <v>16</v>
      </c>
      <c r="K101" s="3" t="s">
        <v>15</v>
      </c>
      <c r="L101" s="3" t="s">
        <v>15</v>
      </c>
      <c r="M101" s="3" t="s">
        <v>15</v>
      </c>
      <c r="N101" s="3" t="s">
        <v>15</v>
      </c>
      <c r="O101" s="3" t="s">
        <v>17</v>
      </c>
      <c r="R101" s="3" t="str">
        <f>IF(ORIG[[#This Row],[using phone?]]="Y","N","Y")</f>
        <v>Y</v>
      </c>
      <c r="S101" s="3" t="str">
        <f t="shared" ref="S101:T103" si="11">IF(R98="Y","Y","N")</f>
        <v>N</v>
      </c>
      <c r="T101" s="3" t="str">
        <f t="shared" si="11"/>
        <v>N</v>
      </c>
      <c r="AA101" t="s">
        <v>183</v>
      </c>
      <c r="AB101" s="1">
        <f>AVERAGE(F106:F115)</f>
        <v>1.0726122087631036</v>
      </c>
    </row>
    <row r="102" spans="1:30" hidden="1">
      <c r="A102" s="3">
        <v>101</v>
      </c>
      <c r="B102" s="5">
        <v>0.48032407407407413</v>
      </c>
      <c r="C102" s="5">
        <v>0.48047453703703707</v>
      </c>
      <c r="D102" s="7">
        <f>ORIG[[#This Row],[Exit Time]]-ORIG[[#This Row],[Entry Time]]</f>
        <v>1.5046296296294948E-4</v>
      </c>
      <c r="E102" s="9">
        <f>ORIG[[#This Row],[Time Elapsed]]*24*60*60</f>
        <v>12.999999999998835</v>
      </c>
      <c r="F102" s="4">
        <f t="shared" si="9"/>
        <v>1.3846153846155087</v>
      </c>
      <c r="G102" s="3" t="s">
        <v>108</v>
      </c>
      <c r="H102" s="3" t="s">
        <v>19</v>
      </c>
      <c r="I102" s="3">
        <f t="shared" si="10"/>
        <v>18</v>
      </c>
      <c r="J102" s="3" t="s">
        <v>16</v>
      </c>
      <c r="K102" s="3" t="s">
        <v>15</v>
      </c>
      <c r="L102" s="3" t="s">
        <v>15</v>
      </c>
      <c r="M102" s="3" t="s">
        <v>15</v>
      </c>
      <c r="N102" s="3" t="s">
        <v>15</v>
      </c>
      <c r="O102" s="3" t="s">
        <v>17</v>
      </c>
      <c r="R102" s="3" t="str">
        <f>IF(ORIG[[#This Row],[using phone?]]="Y","N","Y")</f>
        <v>Y</v>
      </c>
      <c r="S102" s="3" t="str">
        <f t="shared" si="11"/>
        <v>N</v>
      </c>
      <c r="T102" s="3" t="str">
        <f t="shared" si="11"/>
        <v>N</v>
      </c>
      <c r="AA102" t="s">
        <v>183</v>
      </c>
      <c r="AB102" s="1">
        <f>AVERAGE(F107:F116)</f>
        <v>1.0976122087631113</v>
      </c>
    </row>
    <row r="103" spans="1:30" hidden="1">
      <c r="A103" s="3">
        <v>102</v>
      </c>
      <c r="B103" s="5">
        <v>0.48032407407407413</v>
      </c>
      <c r="C103" s="5">
        <v>0.48050925925925925</v>
      </c>
      <c r="D103" s="7">
        <f>ORIG[[#This Row],[Exit Time]]-ORIG[[#This Row],[Entry Time]]</f>
        <v>1.8518518518512161E-4</v>
      </c>
      <c r="E103" s="9">
        <f>ORIG[[#This Row],[Time Elapsed]]*24*60*60</f>
        <v>15.999999999994508</v>
      </c>
      <c r="F103" s="4">
        <f t="shared" si="9"/>
        <v>1.1250000000003861</v>
      </c>
      <c r="G103" s="3" t="s">
        <v>109</v>
      </c>
      <c r="H103" s="3" t="s">
        <v>19</v>
      </c>
      <c r="I103" s="3">
        <f t="shared" si="10"/>
        <v>18</v>
      </c>
      <c r="J103" s="3" t="s">
        <v>15</v>
      </c>
      <c r="K103" s="3" t="s">
        <v>16</v>
      </c>
      <c r="L103" s="3" t="s">
        <v>16</v>
      </c>
      <c r="M103" s="3" t="s">
        <v>15</v>
      </c>
      <c r="N103" s="3" t="s">
        <v>16</v>
      </c>
      <c r="O103" s="3" t="s">
        <v>17</v>
      </c>
      <c r="R103" s="3" t="str">
        <f>IF(ORIG[[#This Row],[using phone?]]="Y","N","Y")</f>
        <v>N</v>
      </c>
      <c r="S103" s="3" t="str">
        <f t="shared" si="11"/>
        <v>N</v>
      </c>
      <c r="T103" s="3" t="str">
        <f t="shared" si="11"/>
        <v>N</v>
      </c>
      <c r="W103" t="s">
        <v>183</v>
      </c>
      <c r="X103" s="1">
        <f>AVERAGE(F104:F113)</f>
        <v>1.0498100109609017</v>
      </c>
      <c r="AB103" s="1"/>
    </row>
    <row r="104" spans="1:30">
      <c r="A104" s="3">
        <v>103</v>
      </c>
      <c r="B104" s="5">
        <v>0.48046296296296293</v>
      </c>
      <c r="C104" s="5">
        <v>0.48078703703703707</v>
      </c>
      <c r="D104" s="7">
        <f>ORIG[[#This Row],[Exit Time]]-ORIG[[#This Row],[Entry Time]]</f>
        <v>3.2407407407414324E-4</v>
      </c>
      <c r="E104" s="9">
        <f>ORIG[[#This Row],[Time Elapsed]]*24*60*60</f>
        <v>28.000000000005976</v>
      </c>
      <c r="F104" s="4">
        <f t="shared" si="9"/>
        <v>0.85714285714267424</v>
      </c>
      <c r="G104" s="3" t="s">
        <v>110</v>
      </c>
      <c r="H104" s="3" t="s">
        <v>14</v>
      </c>
      <c r="I104" s="3">
        <f t="shared" si="10"/>
        <v>24</v>
      </c>
      <c r="J104" s="3" t="s">
        <v>15</v>
      </c>
      <c r="K104" s="3" t="s">
        <v>16</v>
      </c>
      <c r="L104" s="3" t="s">
        <v>15</v>
      </c>
      <c r="M104" s="3" t="s">
        <v>16</v>
      </c>
      <c r="N104" s="3" t="s">
        <v>16</v>
      </c>
      <c r="O104" s="3" t="s">
        <v>51</v>
      </c>
      <c r="S104" s="3" t="str">
        <f>IF(ORIG[[#This Row],[Phone Follower]]="Y","Y","N")</f>
        <v>N</v>
      </c>
      <c r="Y104" t="s">
        <v>183</v>
      </c>
      <c r="Z104" s="1">
        <f>AVERAGE(F105:F114)</f>
        <v>1.0783814395323568</v>
      </c>
      <c r="AA104" s="1"/>
      <c r="AB104" s="1"/>
      <c r="AC104" s="1"/>
      <c r="AD104" s="1"/>
    </row>
    <row r="105" spans="1:30">
      <c r="A105" s="3">
        <v>104</v>
      </c>
      <c r="B105" s="5">
        <v>0.48053240740740738</v>
      </c>
      <c r="C105" s="5">
        <v>0.48090277777777773</v>
      </c>
      <c r="D105" s="7">
        <f>ORIG[[#This Row],[Exit Time]]-ORIG[[#This Row],[Entry Time]]</f>
        <v>3.7037037037035425E-4</v>
      </c>
      <c r="E105" s="9">
        <f>ORIG[[#This Row],[Time Elapsed]]*24*60*60</f>
        <v>31.999999999998607</v>
      </c>
      <c r="F105" s="4">
        <f t="shared" si="9"/>
        <v>0.75000000000003264</v>
      </c>
      <c r="G105" s="3" t="s">
        <v>111</v>
      </c>
      <c r="H105" s="3" t="s">
        <v>14</v>
      </c>
      <c r="I105" s="3">
        <f t="shared" si="10"/>
        <v>24</v>
      </c>
      <c r="J105" s="3" t="s">
        <v>16</v>
      </c>
      <c r="K105" s="3" t="s">
        <v>15</v>
      </c>
      <c r="L105" s="3" t="s">
        <v>15</v>
      </c>
      <c r="M105" s="3" t="s">
        <v>15</v>
      </c>
      <c r="N105" s="3" t="s">
        <v>15</v>
      </c>
      <c r="O105" s="3" t="s">
        <v>51</v>
      </c>
      <c r="S105" s="3" t="str">
        <f>IF(ORIG[[#This Row],[Phone Follower]]="Y","Y","N")</f>
        <v>N</v>
      </c>
      <c r="AA105" t="s">
        <v>183</v>
      </c>
      <c r="AB105" s="1">
        <f>AVERAGE(F110:F119)</f>
        <v>0.98798335722243924</v>
      </c>
    </row>
    <row r="106" spans="1:30">
      <c r="A106" s="3">
        <v>105</v>
      </c>
      <c r="B106" s="5">
        <v>0.48054398148148153</v>
      </c>
      <c r="C106" s="5">
        <v>0.48091435185185188</v>
      </c>
      <c r="D106" s="7">
        <f>ORIG[[#This Row],[Exit Time]]-ORIG[[#This Row],[Entry Time]]</f>
        <v>3.7037037037035425E-4</v>
      </c>
      <c r="E106" s="9">
        <f>ORIG[[#This Row],[Time Elapsed]]*24*60*60</f>
        <v>31.999999999998607</v>
      </c>
      <c r="F106" s="4">
        <f t="shared" si="9"/>
        <v>0.75000000000003264</v>
      </c>
      <c r="G106" s="3" t="s">
        <v>112</v>
      </c>
      <c r="H106" s="3" t="s">
        <v>14</v>
      </c>
      <c r="I106" s="3">
        <f t="shared" si="10"/>
        <v>24</v>
      </c>
      <c r="J106" s="3" t="s">
        <v>16</v>
      </c>
      <c r="K106" s="3" t="s">
        <v>15</v>
      </c>
      <c r="L106" s="3" t="s">
        <v>15</v>
      </c>
      <c r="M106" s="3" t="s">
        <v>15</v>
      </c>
      <c r="N106" s="3" t="s">
        <v>15</v>
      </c>
      <c r="O106" s="3" t="s">
        <v>51</v>
      </c>
      <c r="S106" s="3" t="str">
        <f>IF(ORIG[[#This Row],[Phone Follower]]="Y","Y","N")</f>
        <v>N</v>
      </c>
      <c r="AA106" t="s">
        <v>183</v>
      </c>
      <c r="AB106" s="1">
        <f>AVERAGE(F111:F120)</f>
        <v>0.93465002388911367</v>
      </c>
    </row>
    <row r="107" spans="1:30">
      <c r="A107" s="3">
        <v>106</v>
      </c>
      <c r="B107" s="5">
        <v>0.48055555555555557</v>
      </c>
      <c r="C107" s="5">
        <v>0.48083333333333328</v>
      </c>
      <c r="D107" s="7">
        <f>ORIG[[#This Row],[Exit Time]]-ORIG[[#This Row],[Entry Time]]</f>
        <v>2.7777777777771018E-4</v>
      </c>
      <c r="E107" s="9">
        <f>ORIG[[#This Row],[Time Elapsed]]*24*60*60</f>
        <v>23.999999999994159</v>
      </c>
      <c r="F107" s="4">
        <f t="shared" si="9"/>
        <v>1.0000000000002434</v>
      </c>
      <c r="G107" s="3" t="s">
        <v>113</v>
      </c>
      <c r="H107" s="3" t="s">
        <v>14</v>
      </c>
      <c r="I107" s="3">
        <f t="shared" si="10"/>
        <v>24</v>
      </c>
      <c r="J107" s="3" t="s">
        <v>16</v>
      </c>
      <c r="K107" s="3" t="s">
        <v>15</v>
      </c>
      <c r="L107" s="3" t="s">
        <v>15</v>
      </c>
      <c r="M107" s="3" t="s">
        <v>15</v>
      </c>
      <c r="N107" s="3" t="s">
        <v>15</v>
      </c>
      <c r="O107" s="3" t="s">
        <v>17</v>
      </c>
      <c r="S107" s="3" t="str">
        <f>IF(ORIG[[#This Row],[Phone Follower]]="Y","Y","N")</f>
        <v>N</v>
      </c>
      <c r="AA107" t="s">
        <v>183</v>
      </c>
      <c r="AB107" s="1">
        <f>AVERAGE(F112:F121)</f>
        <v>0.97147866839039243</v>
      </c>
    </row>
    <row r="108" spans="1:30">
      <c r="A108" s="3">
        <v>107</v>
      </c>
      <c r="B108" s="5">
        <v>0.48075231481481479</v>
      </c>
      <c r="C108" s="5">
        <v>0.48094907407407406</v>
      </c>
      <c r="D108" s="7">
        <f>ORIG[[#This Row],[Exit Time]]-ORIG[[#This Row],[Entry Time]]</f>
        <v>1.9675925925927151E-4</v>
      </c>
      <c r="E108" s="9">
        <f>ORIG[[#This Row],[Time Elapsed]]*24*60*60</f>
        <v>17.000000000001059</v>
      </c>
      <c r="F108" s="4">
        <f t="shared" si="9"/>
        <v>1.4117647058822651</v>
      </c>
      <c r="G108" s="3" t="s">
        <v>114</v>
      </c>
      <c r="H108" s="3" t="s">
        <v>14</v>
      </c>
      <c r="I108" s="3">
        <f t="shared" si="10"/>
        <v>24</v>
      </c>
      <c r="J108" s="3" t="s">
        <v>15</v>
      </c>
      <c r="K108" s="3" t="s">
        <v>15</v>
      </c>
      <c r="L108" s="3" t="s">
        <v>15</v>
      </c>
      <c r="M108" s="3" t="s">
        <v>15</v>
      </c>
      <c r="N108" s="3" t="s">
        <v>15</v>
      </c>
      <c r="O108" s="3" t="s">
        <v>51</v>
      </c>
      <c r="S108" s="3" t="str">
        <f>IF(ORIG[[#This Row],[Phone Follower]]="Y","Y","N")</f>
        <v>N</v>
      </c>
    </row>
    <row r="109" spans="1:30">
      <c r="A109" s="3">
        <v>108</v>
      </c>
      <c r="B109" s="5">
        <v>0.48077546296296297</v>
      </c>
      <c r="C109" s="5">
        <v>0.48101851851851851</v>
      </c>
      <c r="D109" s="7">
        <f>ORIG[[#This Row],[Exit Time]]-ORIG[[#This Row],[Entry Time]]</f>
        <v>2.4305555555553804E-4</v>
      </c>
      <c r="E109" s="9">
        <f>ORIG[[#This Row],[Time Elapsed]]*24*60*60</f>
        <v>20.999999999998487</v>
      </c>
      <c r="F109" s="4">
        <f t="shared" si="9"/>
        <v>1.1428571428572252</v>
      </c>
      <c r="G109" s="3" t="s">
        <v>115</v>
      </c>
      <c r="H109" s="3" t="s">
        <v>14</v>
      </c>
      <c r="I109" s="3">
        <f t="shared" si="10"/>
        <v>24</v>
      </c>
      <c r="J109" s="3" t="s">
        <v>15</v>
      </c>
      <c r="K109" s="3" t="s">
        <v>15</v>
      </c>
      <c r="L109" s="3" t="s">
        <v>15</v>
      </c>
      <c r="M109" s="3" t="s">
        <v>15</v>
      </c>
      <c r="N109" s="3" t="s">
        <v>15</v>
      </c>
      <c r="O109" s="3" t="s">
        <v>51</v>
      </c>
      <c r="S109" s="3" t="str">
        <f>IF(ORIG[[#This Row],[Phone Follower]]="Y","Y","N")</f>
        <v>N</v>
      </c>
    </row>
    <row r="110" spans="1:30">
      <c r="A110" s="3">
        <v>109</v>
      </c>
      <c r="B110" s="5">
        <v>0.48079861111111111</v>
      </c>
      <c r="C110" s="5">
        <v>0.48103009259259261</v>
      </c>
      <c r="D110" s="7">
        <f>ORIG[[#This Row],[Exit Time]]-ORIG[[#This Row],[Entry Time]]</f>
        <v>2.3148148148149916E-4</v>
      </c>
      <c r="E110" s="9">
        <f>ORIG[[#This Row],[Time Elapsed]]*24*60*60</f>
        <v>20.000000000001528</v>
      </c>
      <c r="F110" s="4">
        <f t="shared" si="9"/>
        <v>1.1999999999999083</v>
      </c>
      <c r="G110" s="3" t="s">
        <v>116</v>
      </c>
      <c r="H110" s="3" t="s">
        <v>14</v>
      </c>
      <c r="I110" s="3">
        <f t="shared" si="10"/>
        <v>24</v>
      </c>
      <c r="J110" s="3" t="s">
        <v>16</v>
      </c>
      <c r="K110" s="3" t="s">
        <v>15</v>
      </c>
      <c r="L110" s="3" t="s">
        <v>15</v>
      </c>
      <c r="M110" s="3" t="s">
        <v>15</v>
      </c>
      <c r="N110" s="3" t="s">
        <v>16</v>
      </c>
      <c r="O110" s="3" t="s">
        <v>17</v>
      </c>
      <c r="P110" s="3" t="s">
        <v>16</v>
      </c>
      <c r="S110" s="3" t="str">
        <f>IF(ORIG[[#This Row],[Phone Follower]]="Y","Y","N")</f>
        <v>N</v>
      </c>
      <c r="AA110" t="s">
        <v>183</v>
      </c>
      <c r="AB110" s="1">
        <f>AVERAGE(F115:F124)</f>
        <v>1.0813687782804546</v>
      </c>
    </row>
    <row r="111" spans="1:30">
      <c r="A111" s="3">
        <v>110</v>
      </c>
      <c r="B111" s="5">
        <v>0.48079861111111111</v>
      </c>
      <c r="C111" s="5">
        <v>0.48106481481481483</v>
      </c>
      <c r="D111" s="7">
        <f>ORIG[[#This Row],[Exit Time]]-ORIG[[#This Row],[Entry Time]]</f>
        <v>2.6620370370372681E-4</v>
      </c>
      <c r="E111" s="9">
        <f>ORIG[[#This Row],[Time Elapsed]]*24*60*60</f>
        <v>23.000000000001997</v>
      </c>
      <c r="F111" s="4">
        <f t="shared" si="9"/>
        <v>1.0434782608694746</v>
      </c>
      <c r="G111" s="3" t="s">
        <v>118</v>
      </c>
      <c r="H111" s="3" t="s">
        <v>14</v>
      </c>
      <c r="I111" s="3">
        <f t="shared" si="10"/>
        <v>24</v>
      </c>
      <c r="J111" s="3" t="s">
        <v>16</v>
      </c>
      <c r="K111" s="3" t="s">
        <v>15</v>
      </c>
      <c r="L111" s="3" t="s">
        <v>15</v>
      </c>
      <c r="M111" s="3" t="s">
        <v>15</v>
      </c>
      <c r="N111" s="3" t="s">
        <v>15</v>
      </c>
      <c r="O111" s="3" t="s">
        <v>17</v>
      </c>
      <c r="P111" s="3" t="s">
        <v>16</v>
      </c>
      <c r="S111" s="3" t="str">
        <f>IF(ORIG[[#This Row],[Phone Follower]]="Y","Y","N")</f>
        <v>N</v>
      </c>
      <c r="AA111" t="s">
        <v>183</v>
      </c>
      <c r="AB111" s="1">
        <f>AVERAGE(F116:F125)</f>
        <v>1.1121380090496893</v>
      </c>
    </row>
    <row r="112" spans="1:30">
      <c r="A112" s="3">
        <v>111</v>
      </c>
      <c r="B112" s="5">
        <v>0.48082175925925924</v>
      </c>
      <c r="C112" s="5">
        <v>0.48106481481481483</v>
      </c>
      <c r="D112" s="7">
        <f>ORIG[[#This Row],[Exit Time]]-ORIG[[#This Row],[Entry Time]]</f>
        <v>2.4305555555559355E-4</v>
      </c>
      <c r="E112" s="9">
        <f>ORIG[[#This Row],[Time Elapsed]]*24*60*60</f>
        <v>21.000000000003283</v>
      </c>
      <c r="F112" s="4">
        <f t="shared" si="9"/>
        <v>1.1428571428569643</v>
      </c>
      <c r="G112" s="3" t="s">
        <v>117</v>
      </c>
      <c r="H112" s="3" t="s">
        <v>14</v>
      </c>
      <c r="I112" s="3">
        <f t="shared" si="10"/>
        <v>24</v>
      </c>
      <c r="J112" s="3" t="s">
        <v>15</v>
      </c>
      <c r="K112" s="3" t="s">
        <v>15</v>
      </c>
      <c r="L112" s="3" t="s">
        <v>15</v>
      </c>
      <c r="M112" s="3" t="s">
        <v>15</v>
      </c>
      <c r="N112" s="3" t="s">
        <v>15</v>
      </c>
      <c r="O112" s="3" t="s">
        <v>17</v>
      </c>
      <c r="Q112" s="3" t="s">
        <v>205</v>
      </c>
      <c r="S112" s="3" t="str">
        <f>IF(ORIG[[#This Row],[Phone Follower]]="Y","Y","N")</f>
        <v>N</v>
      </c>
    </row>
    <row r="113" spans="1:28">
      <c r="A113" s="3">
        <v>112</v>
      </c>
      <c r="B113" s="5">
        <v>0.48084490740740743</v>
      </c>
      <c r="C113" s="5">
        <v>0.48107638888888887</v>
      </c>
      <c r="D113" s="7">
        <f>ORIG[[#This Row],[Exit Time]]-ORIG[[#This Row],[Entry Time]]</f>
        <v>2.3148148148144365E-4</v>
      </c>
      <c r="E113" s="9">
        <f>ORIG[[#This Row],[Time Elapsed]]*24*60*60</f>
        <v>19.999999999996732</v>
      </c>
      <c r="F113" s="4">
        <f t="shared" si="9"/>
        <v>1.200000000000196</v>
      </c>
      <c r="G113" s="3" t="s">
        <v>119</v>
      </c>
      <c r="H113" s="3" t="s">
        <v>14</v>
      </c>
      <c r="I113" s="3">
        <f t="shared" si="10"/>
        <v>24</v>
      </c>
      <c r="J113" s="3" t="s">
        <v>16</v>
      </c>
      <c r="K113" s="3" t="s">
        <v>15</v>
      </c>
      <c r="L113" s="3" t="s">
        <v>15</v>
      </c>
      <c r="M113" s="3" t="s">
        <v>15</v>
      </c>
      <c r="N113" s="3" t="s">
        <v>15</v>
      </c>
      <c r="O113" s="3" t="s">
        <v>17</v>
      </c>
      <c r="S113" s="3" t="str">
        <f>IF(ORIG[[#This Row],[Phone Follower]]="Y","Y","N")</f>
        <v>N</v>
      </c>
      <c r="AA113" t="s">
        <v>183</v>
      </c>
      <c r="AB113" s="1">
        <f t="shared" ref="AB113:AB120" si="12">AVERAGE(F118:F127)</f>
        <v>1.105352294763966</v>
      </c>
    </row>
    <row r="114" spans="1:28">
      <c r="A114" s="3">
        <v>113</v>
      </c>
      <c r="B114" s="5">
        <v>0.48084490740740743</v>
      </c>
      <c r="C114" s="5">
        <v>0.48108796296296297</v>
      </c>
      <c r="D114" s="7">
        <f>ORIG[[#This Row],[Exit Time]]-ORIG[[#This Row],[Entry Time]]</f>
        <v>2.4305555555553804E-4</v>
      </c>
      <c r="E114" s="9">
        <f>ORIG[[#This Row],[Time Elapsed]]*24*60*60</f>
        <v>20.999999999998487</v>
      </c>
      <c r="F114" s="4">
        <f t="shared" si="9"/>
        <v>1.1428571428572252</v>
      </c>
      <c r="G114" s="3" t="s">
        <v>120</v>
      </c>
      <c r="H114" s="3" t="s">
        <v>14</v>
      </c>
      <c r="I114" s="3">
        <f t="shared" si="10"/>
        <v>24</v>
      </c>
      <c r="J114" s="3" t="s">
        <v>16</v>
      </c>
      <c r="K114" s="3" t="s">
        <v>15</v>
      </c>
      <c r="L114" s="3" t="s">
        <v>15</v>
      </c>
      <c r="M114" s="3" t="s">
        <v>15</v>
      </c>
      <c r="N114" s="3" t="s">
        <v>15</v>
      </c>
      <c r="O114" s="3" t="s">
        <v>17</v>
      </c>
      <c r="S114" s="3" t="str">
        <f>IF(ORIG[[#This Row],[Phone Follower]]="Y","Y","N")</f>
        <v>N</v>
      </c>
      <c r="AA114" t="s">
        <v>183</v>
      </c>
      <c r="AB114" s="1">
        <f t="shared" si="12"/>
        <v>1.1386856280973252</v>
      </c>
    </row>
    <row r="115" spans="1:28" hidden="1">
      <c r="A115" s="3">
        <v>114</v>
      </c>
      <c r="B115" s="5">
        <v>0.48090277777777773</v>
      </c>
      <c r="C115" s="5">
        <v>0.48120370370370374</v>
      </c>
      <c r="D115" s="7">
        <f>ORIG[[#This Row],[Exit Time]]-ORIG[[#This Row],[Entry Time]]</f>
        <v>3.0092592592600997E-4</v>
      </c>
      <c r="E115" s="9">
        <f>ORIG[[#This Row],[Time Elapsed]]*24*60*60</f>
        <v>26.000000000007262</v>
      </c>
      <c r="F115" s="4">
        <f t="shared" si="9"/>
        <v>0.692307692307499</v>
      </c>
      <c r="G115" s="3" t="s">
        <v>121</v>
      </c>
      <c r="H115" s="3" t="s">
        <v>19</v>
      </c>
      <c r="I115" s="3">
        <f t="shared" si="10"/>
        <v>18</v>
      </c>
      <c r="J115" s="3" t="s">
        <v>16</v>
      </c>
      <c r="K115" s="3" t="s">
        <v>15</v>
      </c>
      <c r="L115" s="3" t="s">
        <v>15</v>
      </c>
      <c r="M115" s="3" t="s">
        <v>15</v>
      </c>
      <c r="N115" s="3" t="s">
        <v>15</v>
      </c>
      <c r="O115" s="3" t="s">
        <v>51</v>
      </c>
      <c r="R115" s="3" t="str">
        <f>IF(ORIG[[#This Row],[using phone?]]="Y","N","Y")</f>
        <v>Y</v>
      </c>
      <c r="S115" s="3" t="str">
        <f t="shared" ref="S115:T117" si="13">IF(R112="Y","Y","N")</f>
        <v>N</v>
      </c>
      <c r="T115" s="3" t="str">
        <f t="shared" si="13"/>
        <v>N</v>
      </c>
      <c r="AA115" t="s">
        <v>183</v>
      </c>
      <c r="AB115" s="1">
        <f t="shared" si="12"/>
        <v>1.1811098705215919</v>
      </c>
    </row>
    <row r="116" spans="1:28" hidden="1">
      <c r="A116" s="3">
        <v>115</v>
      </c>
      <c r="B116" s="5">
        <v>0.48100694444444447</v>
      </c>
      <c r="C116" s="5">
        <v>0.48121527777777778</v>
      </c>
      <c r="D116" s="7">
        <f>ORIG[[#This Row],[Exit Time]]-ORIG[[#This Row],[Entry Time]]</f>
        <v>2.0833333333331039E-4</v>
      </c>
      <c r="E116" s="9">
        <f>ORIG[[#This Row],[Time Elapsed]]*24*60*60</f>
        <v>17.999999999998018</v>
      </c>
      <c r="F116" s="4">
        <f t="shared" si="9"/>
        <v>1.0000000000001101</v>
      </c>
      <c r="G116" s="3" t="s">
        <v>127</v>
      </c>
      <c r="H116" s="3" t="s">
        <v>19</v>
      </c>
      <c r="I116" s="3">
        <f t="shared" si="10"/>
        <v>18</v>
      </c>
      <c r="J116" s="3" t="s">
        <v>16</v>
      </c>
      <c r="K116" s="3" t="s">
        <v>15</v>
      </c>
      <c r="L116" s="3" t="s">
        <v>15</v>
      </c>
      <c r="M116" s="3" t="s">
        <v>15</v>
      </c>
      <c r="N116" s="3" t="s">
        <v>15</v>
      </c>
      <c r="O116" s="3" t="s">
        <v>51</v>
      </c>
      <c r="R116" s="3" t="str">
        <f>IF(ORIG[[#This Row],[using phone?]]="Y","N","Y")</f>
        <v>Y</v>
      </c>
      <c r="S116" s="3" t="str">
        <f t="shared" si="13"/>
        <v>N</v>
      </c>
      <c r="T116" s="3" t="str">
        <f t="shared" si="13"/>
        <v>N</v>
      </c>
      <c r="AA116" t="s">
        <v>183</v>
      </c>
      <c r="AB116" s="1">
        <f t="shared" si="12"/>
        <v>1.2477765371883103</v>
      </c>
    </row>
    <row r="117" spans="1:28" hidden="1">
      <c r="A117" s="3">
        <v>116</v>
      </c>
      <c r="B117" s="5">
        <v>0.48101851851851851</v>
      </c>
      <c r="C117" s="5">
        <v>0.48120370370370374</v>
      </c>
      <c r="D117" s="7">
        <f>ORIG[[#This Row],[Exit Time]]-ORIG[[#This Row],[Entry Time]]</f>
        <v>1.8518518518523264E-4</v>
      </c>
      <c r="E117" s="9">
        <f>ORIG[[#This Row],[Time Elapsed]]*24*60*60</f>
        <v>16.0000000000041</v>
      </c>
      <c r="F117" s="4">
        <f t="shared" si="9"/>
        <v>1.1249999999997118</v>
      </c>
      <c r="G117" s="3" t="s">
        <v>124</v>
      </c>
      <c r="H117" s="3" t="s">
        <v>19</v>
      </c>
      <c r="I117" s="3">
        <f t="shared" si="10"/>
        <v>18</v>
      </c>
      <c r="J117" s="3" t="s">
        <v>16</v>
      </c>
      <c r="K117" s="3" t="s">
        <v>15</v>
      </c>
      <c r="L117" s="3" t="s">
        <v>15</v>
      </c>
      <c r="M117" s="3" t="s">
        <v>15</v>
      </c>
      <c r="N117" s="3" t="s">
        <v>15</v>
      </c>
      <c r="O117" s="3" t="s">
        <v>51</v>
      </c>
      <c r="R117" s="3" t="str">
        <f>IF(ORIG[[#This Row],[using phone?]]="Y","N","Y")</f>
        <v>Y</v>
      </c>
      <c r="S117" s="3" t="str">
        <f t="shared" si="13"/>
        <v>N</v>
      </c>
      <c r="T117" s="3" t="str">
        <f t="shared" si="13"/>
        <v>N</v>
      </c>
      <c r="AA117" t="s">
        <v>183</v>
      </c>
      <c r="AB117" s="1">
        <f t="shared" si="12"/>
        <v>1.22088578088578</v>
      </c>
    </row>
    <row r="118" spans="1:28">
      <c r="A118" s="3">
        <v>117</v>
      </c>
      <c r="B118" s="5">
        <v>0.48101851851851851</v>
      </c>
      <c r="C118" s="5">
        <v>0.48143518518518519</v>
      </c>
      <c r="D118" s="7">
        <f>ORIG[[#This Row],[Exit Time]]-ORIG[[#This Row],[Entry Time]]</f>
        <v>4.1666666666667629E-4</v>
      </c>
      <c r="E118" s="9">
        <f>ORIG[[#This Row],[Time Elapsed]]*24*60*60</f>
        <v>36.000000000000831</v>
      </c>
      <c r="F118" s="4">
        <f t="shared" si="9"/>
        <v>0.66666666666665131</v>
      </c>
      <c r="G118" s="3" t="s">
        <v>122</v>
      </c>
      <c r="H118" s="3" t="s">
        <v>14</v>
      </c>
      <c r="I118" s="3">
        <f t="shared" si="10"/>
        <v>24</v>
      </c>
      <c r="J118" s="3" t="s">
        <v>16</v>
      </c>
      <c r="K118" s="3" t="s">
        <v>15</v>
      </c>
      <c r="L118" s="3" t="s">
        <v>15</v>
      </c>
      <c r="M118" s="3" t="s">
        <v>15</v>
      </c>
      <c r="N118" s="3" t="s">
        <v>15</v>
      </c>
      <c r="O118" s="3" t="s">
        <v>17</v>
      </c>
      <c r="P118" s="3" t="s">
        <v>16</v>
      </c>
      <c r="S118" s="3" t="str">
        <f>IF(ORIG[[#This Row],[Phone Follower]]="Y","Y","N")</f>
        <v>N</v>
      </c>
      <c r="AA118" t="s">
        <v>183</v>
      </c>
      <c r="AB118" s="1">
        <f t="shared" si="12"/>
        <v>1.2087400318979149</v>
      </c>
    </row>
    <row r="119" spans="1:28">
      <c r="A119" s="3">
        <v>118</v>
      </c>
      <c r="B119" s="5">
        <v>0.48101851851851851</v>
      </c>
      <c r="C119" s="5">
        <v>0.48143518518518519</v>
      </c>
      <c r="D119" s="7">
        <f>ORIG[[#This Row],[Exit Time]]-ORIG[[#This Row],[Entry Time]]</f>
        <v>4.1666666666667629E-4</v>
      </c>
      <c r="E119" s="9">
        <f>ORIG[[#This Row],[Time Elapsed]]*24*60*60</f>
        <v>36.000000000000831</v>
      </c>
      <c r="F119" s="4">
        <f t="shared" si="9"/>
        <v>0.66666666666665131</v>
      </c>
      <c r="G119" s="3" t="s">
        <v>123</v>
      </c>
      <c r="H119" s="3" t="s">
        <v>14</v>
      </c>
      <c r="I119" s="3">
        <f t="shared" si="10"/>
        <v>24</v>
      </c>
      <c r="J119" s="3" t="s">
        <v>16</v>
      </c>
      <c r="K119" s="3" t="s">
        <v>15</v>
      </c>
      <c r="L119" s="3" t="s">
        <v>15</v>
      </c>
      <c r="M119" s="3" t="s">
        <v>15</v>
      </c>
      <c r="N119" s="3" t="s">
        <v>15</v>
      </c>
      <c r="O119" s="3" t="s">
        <v>17</v>
      </c>
      <c r="P119" s="3" t="s">
        <v>16</v>
      </c>
      <c r="S119" s="3" t="str">
        <f>IF(ORIG[[#This Row],[Phone Follower]]="Y","Y","N")</f>
        <v>N</v>
      </c>
      <c r="AA119" t="s">
        <v>183</v>
      </c>
      <c r="AB119" s="1">
        <f t="shared" si="12"/>
        <v>1.1487400318980154</v>
      </c>
    </row>
    <row r="120" spans="1:28">
      <c r="A120" s="3">
        <v>119</v>
      </c>
      <c r="B120" s="5">
        <v>0.48101851851851851</v>
      </c>
      <c r="C120" s="5">
        <v>0.48143518518518519</v>
      </c>
      <c r="D120" s="7">
        <f>ORIG[[#This Row],[Exit Time]]-ORIG[[#This Row],[Entry Time]]</f>
        <v>4.1666666666667629E-4</v>
      </c>
      <c r="E120" s="9">
        <f>ORIG[[#This Row],[Time Elapsed]]*24*60*60</f>
        <v>36.000000000000831</v>
      </c>
      <c r="F120" s="4">
        <f t="shared" si="9"/>
        <v>0.66666666666665131</v>
      </c>
      <c r="G120" s="3" t="s">
        <v>40</v>
      </c>
      <c r="H120" s="3" t="s">
        <v>14</v>
      </c>
      <c r="I120" s="3">
        <f t="shared" si="10"/>
        <v>24</v>
      </c>
      <c r="J120" s="3" t="s">
        <v>16</v>
      </c>
      <c r="K120" s="3" t="s">
        <v>15</v>
      </c>
      <c r="L120" s="3" t="s">
        <v>15</v>
      </c>
      <c r="M120" s="3" t="s">
        <v>15</v>
      </c>
      <c r="N120" s="3" t="s">
        <v>15</v>
      </c>
      <c r="O120" s="3" t="s">
        <v>17</v>
      </c>
      <c r="P120" s="3" t="s">
        <v>16</v>
      </c>
      <c r="S120" s="3" t="str">
        <f>IF(ORIG[[#This Row],[Phone Follower]]="Y","Y","N")</f>
        <v>N</v>
      </c>
      <c r="AA120" t="s">
        <v>183</v>
      </c>
      <c r="AB120" s="1">
        <f t="shared" si="12"/>
        <v>1.0887400318980136</v>
      </c>
    </row>
    <row r="121" spans="1:28">
      <c r="A121" s="3">
        <v>120</v>
      </c>
      <c r="B121" s="5">
        <v>0.48103009259259261</v>
      </c>
      <c r="C121" s="5">
        <v>0.48122685185185188</v>
      </c>
      <c r="D121" s="7">
        <f>ORIG[[#This Row],[Exit Time]]-ORIG[[#This Row],[Entry Time]]</f>
        <v>1.9675925925927151E-4</v>
      </c>
      <c r="E121" s="9">
        <f>ORIG[[#This Row],[Time Elapsed]]*24*60*60</f>
        <v>17.000000000001059</v>
      </c>
      <c r="F121" s="4">
        <f t="shared" si="9"/>
        <v>1.4117647058822651</v>
      </c>
      <c r="G121" s="3" t="s">
        <v>125</v>
      </c>
      <c r="H121" s="3" t="s">
        <v>14</v>
      </c>
      <c r="I121" s="3">
        <f t="shared" si="10"/>
        <v>24</v>
      </c>
      <c r="J121" s="3" t="s">
        <v>15</v>
      </c>
      <c r="K121" s="3" t="s">
        <v>15</v>
      </c>
      <c r="L121" s="3" t="s">
        <v>15</v>
      </c>
      <c r="M121" s="3" t="s">
        <v>15</v>
      </c>
      <c r="N121" s="3" t="s">
        <v>15</v>
      </c>
      <c r="O121" s="3" t="s">
        <v>51</v>
      </c>
      <c r="Q121" s="3" t="s">
        <v>206</v>
      </c>
      <c r="S121" s="3" t="str">
        <f>IF(ORIG[[#This Row],[Phone Follower]]="Y","Y","N")</f>
        <v>N</v>
      </c>
    </row>
    <row r="122" spans="1:28" hidden="1">
      <c r="A122" s="3">
        <v>121</v>
      </c>
      <c r="B122" s="5">
        <v>0.48106481481481483</v>
      </c>
      <c r="C122" s="5">
        <v>0.48121527777777778</v>
      </c>
      <c r="D122" s="7">
        <f>ORIG[[#This Row],[Exit Time]]-ORIG[[#This Row],[Entry Time]]</f>
        <v>1.5046296296294948E-4</v>
      </c>
      <c r="E122" s="9">
        <f>ORIG[[#This Row],[Time Elapsed]]*24*60*60</f>
        <v>12.999999999998835</v>
      </c>
      <c r="F122" s="4">
        <f t="shared" si="9"/>
        <v>1.3846153846155087</v>
      </c>
      <c r="G122" s="3" t="s">
        <v>73</v>
      </c>
      <c r="H122" s="3" t="s">
        <v>19</v>
      </c>
      <c r="I122" s="3">
        <f t="shared" si="10"/>
        <v>18</v>
      </c>
      <c r="J122" s="3" t="s">
        <v>15</v>
      </c>
      <c r="K122" s="3" t="s">
        <v>16</v>
      </c>
      <c r="L122" s="3" t="s">
        <v>16</v>
      </c>
      <c r="M122" s="3" t="s">
        <v>15</v>
      </c>
      <c r="N122" s="3" t="s">
        <v>16</v>
      </c>
      <c r="O122" s="3" t="s">
        <v>17</v>
      </c>
      <c r="R122" s="3" t="str">
        <f>IF(ORIG[[#This Row],[using phone?]]="Y","N","Y")</f>
        <v>N</v>
      </c>
      <c r="S122" s="3" t="str">
        <f>IF(R119="Y","Y","N")</f>
        <v>N</v>
      </c>
      <c r="T122" s="3" t="str">
        <f>IF(S119="Y","Y","N")</f>
        <v>N</v>
      </c>
      <c r="W122" t="s">
        <v>183</v>
      </c>
      <c r="X122" s="1">
        <f>AVERAGE(F123:F132)</f>
        <v>1.2087400318979149</v>
      </c>
      <c r="AB122" s="1"/>
    </row>
    <row r="123" spans="1:28">
      <c r="A123" s="3">
        <v>122</v>
      </c>
      <c r="B123" s="5">
        <v>0.48112268518518514</v>
      </c>
      <c r="C123" s="5">
        <v>0.48129629629629633</v>
      </c>
      <c r="D123" s="7">
        <f>ORIG[[#This Row],[Exit Time]]-ORIG[[#This Row],[Entry Time]]</f>
        <v>1.7361111111119376E-4</v>
      </c>
      <c r="E123" s="9">
        <f>ORIG[[#This Row],[Time Elapsed]]*24*60*60</f>
        <v>15.000000000007141</v>
      </c>
      <c r="F123" s="4">
        <f t="shared" si="9"/>
        <v>1.5999999999992383</v>
      </c>
      <c r="G123" s="3" t="s">
        <v>126</v>
      </c>
      <c r="H123" s="3" t="s">
        <v>14</v>
      </c>
      <c r="I123" s="3">
        <f t="shared" si="10"/>
        <v>24</v>
      </c>
      <c r="J123" s="3" t="s">
        <v>15</v>
      </c>
      <c r="K123" s="3" t="s">
        <v>15</v>
      </c>
      <c r="L123" s="3" t="s">
        <v>15</v>
      </c>
      <c r="M123" s="3" t="s">
        <v>15</v>
      </c>
      <c r="N123" s="3" t="s">
        <v>15</v>
      </c>
      <c r="O123" s="3" t="s">
        <v>51</v>
      </c>
      <c r="P123" s="3" t="s">
        <v>16</v>
      </c>
      <c r="S123" s="3" t="str">
        <f>IF(ORIG[[#This Row],[Phone Follower]]="Y","Y","N")</f>
        <v>N</v>
      </c>
    </row>
    <row r="124" spans="1:28">
      <c r="A124" s="3">
        <v>123</v>
      </c>
      <c r="B124" s="5">
        <v>0.48113425925925929</v>
      </c>
      <c r="C124" s="5">
        <v>0.48130787037037037</v>
      </c>
      <c r="D124" s="7">
        <f>ORIG[[#This Row],[Exit Time]]-ORIG[[#This Row],[Entry Time]]</f>
        <v>1.7361111111108274E-4</v>
      </c>
      <c r="E124" s="9">
        <f>ORIG[[#This Row],[Time Elapsed]]*24*60*60</f>
        <v>14.999999999997549</v>
      </c>
      <c r="F124" s="4">
        <f t="shared" si="9"/>
        <v>1.6000000000002614</v>
      </c>
      <c r="G124" s="3" t="s">
        <v>128</v>
      </c>
      <c r="H124" s="3" t="s">
        <v>14</v>
      </c>
      <c r="I124" s="3">
        <f t="shared" si="10"/>
        <v>24</v>
      </c>
      <c r="J124" s="3" t="s">
        <v>15</v>
      </c>
      <c r="K124" s="3" t="s">
        <v>15</v>
      </c>
      <c r="L124" s="3" t="s">
        <v>15</v>
      </c>
      <c r="M124" s="3" t="s">
        <v>15</v>
      </c>
      <c r="N124" s="3" t="s">
        <v>15</v>
      </c>
      <c r="O124" s="3" t="s">
        <v>51</v>
      </c>
      <c r="Q124" s="3" t="s">
        <v>207</v>
      </c>
      <c r="S124" s="3" t="str">
        <f>IF(ORIG[[#This Row],[Phone Follower]]="Y","Y","N")</f>
        <v>N</v>
      </c>
    </row>
    <row r="125" spans="1:28">
      <c r="A125" s="3">
        <v>124</v>
      </c>
      <c r="B125" s="5">
        <v>0.48114583333333333</v>
      </c>
      <c r="C125" s="5">
        <v>0.48142361111111115</v>
      </c>
      <c r="D125" s="7">
        <f>ORIG[[#This Row],[Exit Time]]-ORIG[[#This Row],[Entry Time]]</f>
        <v>2.777777777778212E-4</v>
      </c>
      <c r="E125" s="9">
        <f>ORIG[[#This Row],[Time Elapsed]]*24*60*60</f>
        <v>24.000000000003752</v>
      </c>
      <c r="F125" s="4">
        <f t="shared" si="9"/>
        <v>0.99999999999984368</v>
      </c>
      <c r="G125" s="3" t="s">
        <v>129</v>
      </c>
      <c r="H125" s="3" t="s">
        <v>14</v>
      </c>
      <c r="I125" s="3">
        <f t="shared" si="10"/>
        <v>24</v>
      </c>
      <c r="J125" s="3" t="s">
        <v>16</v>
      </c>
      <c r="K125" s="3" t="s">
        <v>15</v>
      </c>
      <c r="L125" s="3" t="s">
        <v>15</v>
      </c>
      <c r="M125" s="3" t="s">
        <v>15</v>
      </c>
      <c r="N125" s="3" t="s">
        <v>15</v>
      </c>
      <c r="O125" s="3" t="s">
        <v>17</v>
      </c>
      <c r="P125" s="3" t="s">
        <v>16</v>
      </c>
      <c r="S125" s="3" t="str">
        <f>IF(ORIG[[#This Row],[Phone Follower]]="Y","Y","N")</f>
        <v>N</v>
      </c>
      <c r="AA125" t="s">
        <v>183</v>
      </c>
      <c r="AB125" s="1">
        <f>AVERAGE(F130:F139)</f>
        <v>1.2817470249049334</v>
      </c>
    </row>
    <row r="126" spans="1:28">
      <c r="A126" s="3">
        <v>125</v>
      </c>
      <c r="B126" s="5">
        <v>0.48115740740740742</v>
      </c>
      <c r="C126" s="5">
        <v>0.48148148148148145</v>
      </c>
      <c r="D126" s="7">
        <f>ORIG[[#This Row],[Exit Time]]-ORIG[[#This Row],[Entry Time]]</f>
        <v>3.2407407407403221E-4</v>
      </c>
      <c r="E126" s="9">
        <f>ORIG[[#This Row],[Time Elapsed]]*24*60*60</f>
        <v>27.999999999996383</v>
      </c>
      <c r="F126" s="4">
        <f t="shared" si="9"/>
        <v>0.8571428571429679</v>
      </c>
      <c r="G126" s="3" t="s">
        <v>130</v>
      </c>
      <c r="H126" s="3" t="s">
        <v>14</v>
      </c>
      <c r="I126" s="3">
        <f t="shared" si="10"/>
        <v>24</v>
      </c>
      <c r="J126" s="3" t="s">
        <v>16</v>
      </c>
      <c r="K126" s="3" t="s">
        <v>15</v>
      </c>
      <c r="L126" s="3" t="s">
        <v>15</v>
      </c>
      <c r="M126" s="3" t="s">
        <v>15</v>
      </c>
      <c r="N126" s="3" t="s">
        <v>16</v>
      </c>
      <c r="O126" s="3" t="s">
        <v>17</v>
      </c>
      <c r="P126" s="3" t="s">
        <v>16</v>
      </c>
      <c r="S126" s="3" t="str">
        <f>IF(ORIG[[#This Row],[Phone Follower]]="Y","Y","N")</f>
        <v>N</v>
      </c>
      <c r="AA126" t="s">
        <v>183</v>
      </c>
      <c r="AB126" s="1">
        <f>AVERAGE(F131:F140)</f>
        <v>1.2527615176584974</v>
      </c>
    </row>
    <row r="127" spans="1:28">
      <c r="A127" s="3">
        <v>126</v>
      </c>
      <c r="B127" s="5">
        <v>0.48119212962962959</v>
      </c>
      <c r="C127" s="5">
        <v>0.48142361111111115</v>
      </c>
      <c r="D127" s="7">
        <f>ORIG[[#This Row],[Exit Time]]-ORIG[[#This Row],[Entry Time]]</f>
        <v>2.3148148148155467E-4</v>
      </c>
      <c r="E127" s="9">
        <f>ORIG[[#This Row],[Time Elapsed]]*24*60*60</f>
        <v>20.000000000006324</v>
      </c>
      <c r="F127" s="4">
        <f t="shared" si="9"/>
        <v>1.1999999999996205</v>
      </c>
      <c r="G127" s="3" t="s">
        <v>131</v>
      </c>
      <c r="H127" s="3" t="s">
        <v>14</v>
      </c>
      <c r="I127" s="3">
        <f t="shared" si="10"/>
        <v>24</v>
      </c>
      <c r="J127" s="3" t="s">
        <v>15</v>
      </c>
      <c r="K127" s="3" t="s">
        <v>15</v>
      </c>
      <c r="L127" s="3" t="s">
        <v>15</v>
      </c>
      <c r="M127" s="3" t="s">
        <v>15</v>
      </c>
      <c r="N127" s="3" t="s">
        <v>15</v>
      </c>
      <c r="O127" s="3" t="s">
        <v>51</v>
      </c>
      <c r="P127" s="3" t="s">
        <v>16</v>
      </c>
      <c r="S127" s="3" t="str">
        <f>IF(ORIG[[#This Row],[Phone Follower]]="Y","Y","N")</f>
        <v>N</v>
      </c>
    </row>
    <row r="128" spans="1:28">
      <c r="A128" s="3">
        <v>127</v>
      </c>
      <c r="B128" s="5">
        <v>0.48120370370370374</v>
      </c>
      <c r="C128" s="5">
        <v>0.48148148148148145</v>
      </c>
      <c r="D128" s="7">
        <f>ORIG[[#This Row],[Exit Time]]-ORIG[[#This Row],[Entry Time]]</f>
        <v>2.7777777777771018E-4</v>
      </c>
      <c r="E128" s="9">
        <f>ORIG[[#This Row],[Time Elapsed]]*24*60*60</f>
        <v>23.999999999994159</v>
      </c>
      <c r="F128" s="4">
        <f t="shared" si="9"/>
        <v>1.0000000000002434</v>
      </c>
      <c r="G128" s="3" t="s">
        <v>132</v>
      </c>
      <c r="H128" s="3" t="s">
        <v>14</v>
      </c>
      <c r="I128" s="3">
        <f t="shared" si="10"/>
        <v>24</v>
      </c>
      <c r="J128" s="3" t="s">
        <v>15</v>
      </c>
      <c r="K128" s="3" t="s">
        <v>15</v>
      </c>
      <c r="L128" s="3" t="s">
        <v>15</v>
      </c>
      <c r="M128" s="3" t="s">
        <v>15</v>
      </c>
      <c r="N128" s="3" t="s">
        <v>16</v>
      </c>
      <c r="O128" s="3" t="s">
        <v>17</v>
      </c>
      <c r="Q128" s="3" t="s">
        <v>208</v>
      </c>
      <c r="S128" s="3" t="str">
        <f>IF(ORIG[[#This Row],[Phone Follower]]="Y","Y","N")</f>
        <v>N</v>
      </c>
    </row>
    <row r="129" spans="1:30">
      <c r="A129" s="3">
        <v>128</v>
      </c>
      <c r="B129" s="5">
        <v>0.48122685185185188</v>
      </c>
      <c r="C129" s="5">
        <v>0.48148148148148145</v>
      </c>
      <c r="D129" s="7">
        <f>ORIG[[#This Row],[Exit Time]]-ORIG[[#This Row],[Entry Time]]</f>
        <v>2.5462962962957691E-4</v>
      </c>
      <c r="E129" s="9">
        <f>ORIG[[#This Row],[Time Elapsed]]*24*60*60</f>
        <v>21.999999999995445</v>
      </c>
      <c r="F129" s="4">
        <f t="shared" si="9"/>
        <v>1.0909090909093166</v>
      </c>
      <c r="G129" s="3" t="s">
        <v>133</v>
      </c>
      <c r="H129" s="3" t="s">
        <v>14</v>
      </c>
      <c r="I129" s="3">
        <f t="shared" si="10"/>
        <v>24</v>
      </c>
      <c r="J129" s="3" t="s">
        <v>15</v>
      </c>
      <c r="K129" s="3" t="s">
        <v>15</v>
      </c>
      <c r="L129" s="3" t="s">
        <v>15</v>
      </c>
      <c r="M129" s="3" t="s">
        <v>15</v>
      </c>
      <c r="N129" s="3" t="s">
        <v>16</v>
      </c>
      <c r="O129" s="3" t="s">
        <v>51</v>
      </c>
      <c r="S129" s="3" t="str">
        <f>IF(ORIG[[#This Row],[Phone Follower]]="Y","Y","N")</f>
        <v>N</v>
      </c>
    </row>
    <row r="130" spans="1:30">
      <c r="A130" s="3">
        <v>129</v>
      </c>
      <c r="B130" s="5">
        <v>0.4812731481481482</v>
      </c>
      <c r="C130" s="5">
        <v>0.48148148148148145</v>
      </c>
      <c r="D130" s="7">
        <f>ORIG[[#This Row],[Exit Time]]-ORIG[[#This Row],[Entry Time]]</f>
        <v>2.0833333333325488E-4</v>
      </c>
      <c r="E130" s="9">
        <f>ORIG[[#This Row],[Time Elapsed]]*24*60*60</f>
        <v>17.999999999993221</v>
      </c>
      <c r="F130" s="4">
        <f t="shared" ref="F130:F161" si="14">I130/E130</f>
        <v>1.3333333333338355</v>
      </c>
      <c r="G130" s="3" t="s">
        <v>134</v>
      </c>
      <c r="H130" s="3" t="s">
        <v>14</v>
      </c>
      <c r="I130" s="3">
        <f t="shared" ref="I130:I161" si="15">IF(H130="away", $AE$1, $AF$1)</f>
        <v>24</v>
      </c>
      <c r="J130" s="3" t="s">
        <v>15</v>
      </c>
      <c r="K130" s="3" t="s">
        <v>15</v>
      </c>
      <c r="L130" s="3" t="s">
        <v>15</v>
      </c>
      <c r="M130" s="3" t="s">
        <v>15</v>
      </c>
      <c r="N130" s="3" t="s">
        <v>15</v>
      </c>
      <c r="O130" s="3" t="s">
        <v>51</v>
      </c>
      <c r="S130" s="3" t="str">
        <f>IF(ORIG[[#This Row],[Phone Follower]]="Y","Y","N")</f>
        <v>N</v>
      </c>
    </row>
    <row r="131" spans="1:30">
      <c r="A131" s="3">
        <v>130</v>
      </c>
      <c r="B131" s="5">
        <v>0.48140046296296296</v>
      </c>
      <c r="C131" s="5">
        <v>0.48164351851851855</v>
      </c>
      <c r="D131" s="7">
        <f>ORIG[[#This Row],[Exit Time]]-ORIG[[#This Row],[Entry Time]]</f>
        <v>2.4305555555559355E-4</v>
      </c>
      <c r="E131" s="9">
        <f>ORIG[[#This Row],[Time Elapsed]]*24*60*60</f>
        <v>21.000000000003283</v>
      </c>
      <c r="F131" s="4">
        <f t="shared" si="14"/>
        <v>1.1428571428569643</v>
      </c>
      <c r="G131" s="3" t="s">
        <v>135</v>
      </c>
      <c r="H131" s="3" t="s">
        <v>14</v>
      </c>
      <c r="I131" s="3">
        <f t="shared" si="15"/>
        <v>24</v>
      </c>
      <c r="J131" s="3" t="s">
        <v>15</v>
      </c>
      <c r="K131" s="3" t="s">
        <v>15</v>
      </c>
      <c r="L131" s="3" t="s">
        <v>15</v>
      </c>
      <c r="M131" s="3" t="s">
        <v>15</v>
      </c>
      <c r="N131" s="3" t="s">
        <v>15</v>
      </c>
      <c r="O131" s="3" t="s">
        <v>51</v>
      </c>
      <c r="S131" s="3" t="str">
        <f>IF(ORIG[[#This Row],[Phone Follower]]="Y","Y","N")</f>
        <v>N</v>
      </c>
    </row>
    <row r="132" spans="1:30">
      <c r="A132" s="3">
        <v>131</v>
      </c>
      <c r="B132" s="5">
        <v>0.4814930555555556</v>
      </c>
      <c r="C132" s="5">
        <v>0.48171296296296301</v>
      </c>
      <c r="D132" s="7">
        <f>ORIG[[#This Row],[Exit Time]]-ORIG[[#This Row],[Entry Time]]</f>
        <v>2.1990740740740478E-4</v>
      </c>
      <c r="E132" s="9">
        <f>ORIG[[#This Row],[Time Elapsed]]*24*60*60</f>
        <v>18.999999999999773</v>
      </c>
      <c r="F132" s="4">
        <f t="shared" si="14"/>
        <v>1.2631578947368571</v>
      </c>
      <c r="G132" s="3" t="s">
        <v>136</v>
      </c>
      <c r="H132" s="3" t="s">
        <v>14</v>
      </c>
      <c r="I132" s="3">
        <f t="shared" si="15"/>
        <v>24</v>
      </c>
      <c r="J132" s="3" t="s">
        <v>15</v>
      </c>
      <c r="K132" s="3" t="s">
        <v>15</v>
      </c>
      <c r="L132" s="3" t="s">
        <v>15</v>
      </c>
      <c r="M132" s="3" t="s">
        <v>15</v>
      </c>
      <c r="N132" s="3" t="s">
        <v>15</v>
      </c>
      <c r="O132" s="3" t="s">
        <v>17</v>
      </c>
      <c r="S132" s="3" t="str">
        <f>IF(ORIG[[#This Row],[Phone Follower]]="Y","Y","N")</f>
        <v>N</v>
      </c>
    </row>
    <row r="133" spans="1:30">
      <c r="A133" s="3">
        <v>132</v>
      </c>
      <c r="B133" s="5">
        <v>0.48150462962962964</v>
      </c>
      <c r="C133" s="5">
        <v>0.48178240740740735</v>
      </c>
      <c r="D133" s="7">
        <f>ORIG[[#This Row],[Exit Time]]-ORIG[[#This Row],[Entry Time]]</f>
        <v>2.7777777777771018E-4</v>
      </c>
      <c r="E133" s="9">
        <f>ORIG[[#This Row],[Time Elapsed]]*24*60*60</f>
        <v>23.999999999994159</v>
      </c>
      <c r="F133" s="4">
        <f t="shared" si="14"/>
        <v>1.0000000000002434</v>
      </c>
      <c r="G133" s="3" t="s">
        <v>138</v>
      </c>
      <c r="H133" s="3" t="s">
        <v>14</v>
      </c>
      <c r="I133" s="3">
        <f t="shared" si="15"/>
        <v>24</v>
      </c>
      <c r="J133" s="3" t="s">
        <v>16</v>
      </c>
      <c r="K133" s="3" t="s">
        <v>15</v>
      </c>
      <c r="L133" s="3" t="s">
        <v>15</v>
      </c>
      <c r="M133" s="3" t="s">
        <v>15</v>
      </c>
      <c r="N133" s="3" t="s">
        <v>15</v>
      </c>
      <c r="O133" s="3" t="s">
        <v>51</v>
      </c>
      <c r="P133" s="3" t="s">
        <v>16</v>
      </c>
      <c r="S133" s="3" t="str">
        <f>IF(ORIG[[#This Row],[Phone Follower]]="Y","Y","N")</f>
        <v>N</v>
      </c>
      <c r="AA133" t="s">
        <v>183</v>
      </c>
      <c r="AB133" s="1">
        <f>AVERAGE(F138:F147)</f>
        <v>0.8821471302731656</v>
      </c>
    </row>
    <row r="134" spans="1:30">
      <c r="A134" s="3">
        <v>133</v>
      </c>
      <c r="B134" s="5">
        <v>0.48150462962962964</v>
      </c>
      <c r="C134" s="5">
        <v>0.48178240740740735</v>
      </c>
      <c r="D134" s="7">
        <f>ORIG[[#This Row],[Exit Time]]-ORIG[[#This Row],[Entry Time]]</f>
        <v>2.7777777777771018E-4</v>
      </c>
      <c r="E134" s="9">
        <f>ORIG[[#This Row],[Time Elapsed]]*24*60*60</f>
        <v>23.999999999994159</v>
      </c>
      <c r="F134" s="4">
        <f t="shared" si="14"/>
        <v>1.0000000000002434</v>
      </c>
      <c r="G134" s="3" t="s">
        <v>137</v>
      </c>
      <c r="H134" s="3" t="s">
        <v>14</v>
      </c>
      <c r="I134" s="3">
        <f t="shared" si="15"/>
        <v>24</v>
      </c>
      <c r="J134" s="3" t="s">
        <v>16</v>
      </c>
      <c r="K134" s="3" t="s">
        <v>15</v>
      </c>
      <c r="L134" s="3" t="s">
        <v>15</v>
      </c>
      <c r="M134" s="3" t="s">
        <v>15</v>
      </c>
      <c r="N134" s="3" t="s">
        <v>16</v>
      </c>
      <c r="O134" s="3" t="s">
        <v>17</v>
      </c>
      <c r="P134" s="3" t="s">
        <v>16</v>
      </c>
      <c r="S134" s="3" t="str">
        <f>IF(ORIG[[#This Row],[Phone Follower]]="Y","Y","N")</f>
        <v>N</v>
      </c>
      <c r="AA134" t="s">
        <v>183</v>
      </c>
      <c r="AB134" s="1">
        <f>AVERAGE(F139:F148)</f>
        <v>0.90060866873472567</v>
      </c>
    </row>
    <row r="135" spans="1:30">
      <c r="A135" s="3">
        <v>134</v>
      </c>
      <c r="B135" s="5">
        <v>0.48153935185185182</v>
      </c>
      <c r="C135" s="5">
        <v>0.48170138888888886</v>
      </c>
      <c r="D135" s="7">
        <f>ORIG[[#This Row],[Exit Time]]-ORIG[[#This Row],[Entry Time]]</f>
        <v>1.6203703703704386E-4</v>
      </c>
      <c r="E135" s="9">
        <f>ORIG[[#This Row],[Time Elapsed]]*24*60*60</f>
        <v>14.00000000000059</v>
      </c>
      <c r="F135" s="4">
        <f t="shared" si="14"/>
        <v>1.714285714285642</v>
      </c>
      <c r="G135" s="3" t="s">
        <v>139</v>
      </c>
      <c r="H135" s="3" t="s">
        <v>14</v>
      </c>
      <c r="I135" s="3">
        <f t="shared" si="15"/>
        <v>24</v>
      </c>
      <c r="J135" s="3" t="s">
        <v>15</v>
      </c>
      <c r="K135" s="3" t="s">
        <v>15</v>
      </c>
      <c r="L135" s="3" t="s">
        <v>15</v>
      </c>
      <c r="M135" s="3" t="s">
        <v>15</v>
      </c>
      <c r="N135" s="3" t="s">
        <v>15</v>
      </c>
      <c r="O135" s="3" t="s">
        <v>51</v>
      </c>
      <c r="Q135" s="3" t="s">
        <v>204</v>
      </c>
      <c r="S135" s="3" t="str">
        <f>IF(ORIG[[#This Row],[Phone Follower]]="Y","Y","N")</f>
        <v>N</v>
      </c>
    </row>
    <row r="136" spans="1:30" hidden="1">
      <c r="A136" s="3">
        <v>135</v>
      </c>
      <c r="B136" s="5">
        <v>0.48153935185185182</v>
      </c>
      <c r="C136" s="5">
        <v>0.48166666666666669</v>
      </c>
      <c r="D136" s="7">
        <f>ORIG[[#This Row],[Exit Time]]-ORIG[[#This Row],[Entry Time]]</f>
        <v>1.2731481481487172E-4</v>
      </c>
      <c r="E136" s="9">
        <f>ORIG[[#This Row],[Time Elapsed]]*24*60*60</f>
        <v>11.000000000004917</v>
      </c>
      <c r="F136" s="4">
        <f t="shared" si="14"/>
        <v>1.6363636363629048</v>
      </c>
      <c r="G136" s="3" t="s">
        <v>140</v>
      </c>
      <c r="H136" s="3" t="s">
        <v>19</v>
      </c>
      <c r="I136" s="3">
        <f t="shared" si="15"/>
        <v>18</v>
      </c>
      <c r="J136" s="3" t="s">
        <v>15</v>
      </c>
      <c r="K136" s="3" t="s">
        <v>15</v>
      </c>
      <c r="L136" s="3" t="s">
        <v>15</v>
      </c>
      <c r="M136" s="3" t="s">
        <v>15</v>
      </c>
      <c r="N136" s="3" t="s">
        <v>16</v>
      </c>
      <c r="O136" s="3" t="s">
        <v>17</v>
      </c>
      <c r="R136" s="3" t="str">
        <f>IF(ORIG[[#This Row],[using phone?]]="Y","N","Y")</f>
        <v>Y</v>
      </c>
      <c r="S136" s="3" t="str">
        <f>IF(R133="Y","Y","N")</f>
        <v>N</v>
      </c>
      <c r="T136" s="3" t="str">
        <f>IF(S133="Y","Y","N")</f>
        <v>N</v>
      </c>
    </row>
    <row r="137" spans="1:30">
      <c r="A137" s="3">
        <v>136</v>
      </c>
      <c r="B137" s="5">
        <v>0.48158564814814814</v>
      </c>
      <c r="C137" s="5">
        <v>0.48182870370370368</v>
      </c>
      <c r="D137" s="7">
        <f>ORIG[[#This Row],[Exit Time]]-ORIG[[#This Row],[Entry Time]]</f>
        <v>2.4305555555553804E-4</v>
      </c>
      <c r="E137" s="9">
        <f>ORIG[[#This Row],[Time Elapsed]]*24*60*60</f>
        <v>20.999999999998487</v>
      </c>
      <c r="F137" s="4">
        <f t="shared" si="14"/>
        <v>1.1428571428572252</v>
      </c>
      <c r="G137" s="3" t="s">
        <v>141</v>
      </c>
      <c r="H137" s="3" t="s">
        <v>14</v>
      </c>
      <c r="I137" s="3">
        <f t="shared" si="15"/>
        <v>24</v>
      </c>
      <c r="J137" s="3" t="s">
        <v>15</v>
      </c>
      <c r="K137" s="3" t="s">
        <v>15</v>
      </c>
      <c r="L137" s="3" t="s">
        <v>15</v>
      </c>
      <c r="M137" s="3" t="s">
        <v>15</v>
      </c>
      <c r="N137" s="3" t="s">
        <v>16</v>
      </c>
      <c r="O137" s="3" t="s">
        <v>17</v>
      </c>
      <c r="S137" s="3" t="str">
        <f>IF(ORIG[[#This Row],[Phone Follower]]="Y","Y","N")</f>
        <v>N</v>
      </c>
    </row>
    <row r="138" spans="1:30">
      <c r="A138" s="3">
        <v>137</v>
      </c>
      <c r="B138" s="5">
        <v>0.48160879629629627</v>
      </c>
      <c r="C138" s="5">
        <v>0.48184027777777777</v>
      </c>
      <c r="D138" s="7">
        <f>ORIG[[#This Row],[Exit Time]]-ORIG[[#This Row],[Entry Time]]</f>
        <v>2.3148148148149916E-4</v>
      </c>
      <c r="E138" s="9">
        <f>ORIG[[#This Row],[Time Elapsed]]*24*60*60</f>
        <v>20.000000000001528</v>
      </c>
      <c r="F138" s="4">
        <f t="shared" si="14"/>
        <v>1.1999999999999083</v>
      </c>
      <c r="G138" s="3" t="s">
        <v>142</v>
      </c>
      <c r="H138" s="3" t="s">
        <v>14</v>
      </c>
      <c r="I138" s="3">
        <f t="shared" si="15"/>
        <v>24</v>
      </c>
      <c r="J138" s="3" t="s">
        <v>15</v>
      </c>
      <c r="K138" s="3" t="s">
        <v>15</v>
      </c>
      <c r="L138" s="3" t="s">
        <v>15</v>
      </c>
      <c r="M138" s="3" t="s">
        <v>15</v>
      </c>
      <c r="N138" s="3" t="s">
        <v>16</v>
      </c>
      <c r="O138" s="3" t="s">
        <v>51</v>
      </c>
      <c r="S138" s="3" t="str">
        <f>IF(ORIG[[#This Row],[Phone Follower]]="Y","Y","N")</f>
        <v>N</v>
      </c>
    </row>
    <row r="139" spans="1:30" hidden="1">
      <c r="A139" s="3">
        <v>138</v>
      </c>
      <c r="B139" s="5">
        <v>0.48166666666666669</v>
      </c>
      <c r="C139" s="5">
        <v>0.48181712962962964</v>
      </c>
      <c r="D139" s="7">
        <f>ORIG[[#This Row],[Exit Time]]-ORIG[[#This Row],[Entry Time]]</f>
        <v>1.5046296296294948E-4</v>
      </c>
      <c r="E139" s="9">
        <f>ORIG[[#This Row],[Time Elapsed]]*24*60*60</f>
        <v>12.999999999998835</v>
      </c>
      <c r="F139" s="4">
        <f t="shared" si="14"/>
        <v>1.3846153846155087</v>
      </c>
      <c r="G139" s="3" t="s">
        <v>147</v>
      </c>
      <c r="H139" s="3" t="s">
        <v>19</v>
      </c>
      <c r="I139" s="3">
        <f t="shared" si="15"/>
        <v>18</v>
      </c>
      <c r="J139" s="3" t="s">
        <v>15</v>
      </c>
      <c r="K139" s="3" t="s">
        <v>15</v>
      </c>
      <c r="L139" s="3" t="s">
        <v>15</v>
      </c>
      <c r="M139" s="3" t="s">
        <v>15</v>
      </c>
      <c r="N139" s="3" t="s">
        <v>15</v>
      </c>
      <c r="O139" s="3" t="s">
        <v>51</v>
      </c>
      <c r="R139" s="3" t="str">
        <f>IF(ORIG[[#This Row],[using phone?]]="Y","N","Y")</f>
        <v>Y</v>
      </c>
      <c r="S139" s="3" t="str">
        <f>IF(R136="Y","Y","N")</f>
        <v>Y</v>
      </c>
      <c r="T139" s="3" t="str">
        <f>IF(S136="Y","Y","N")</f>
        <v>N</v>
      </c>
    </row>
    <row r="140" spans="1:30">
      <c r="A140" s="3">
        <v>139</v>
      </c>
      <c r="B140" s="5">
        <v>0.48167824074074073</v>
      </c>
      <c r="C140" s="5">
        <v>0.48194444444444445</v>
      </c>
      <c r="D140" s="7">
        <f>ORIG[[#This Row],[Exit Time]]-ORIG[[#This Row],[Entry Time]]</f>
        <v>2.6620370370372681E-4</v>
      </c>
      <c r="E140" s="9">
        <f>ORIG[[#This Row],[Time Elapsed]]*24*60*60</f>
        <v>23.000000000001997</v>
      </c>
      <c r="F140" s="4">
        <f t="shared" si="14"/>
        <v>1.0434782608694746</v>
      </c>
      <c r="G140" s="3" t="s">
        <v>143</v>
      </c>
      <c r="H140" s="3" t="s">
        <v>14</v>
      </c>
      <c r="I140" s="3">
        <f t="shared" si="15"/>
        <v>24</v>
      </c>
      <c r="J140" s="3" t="s">
        <v>15</v>
      </c>
      <c r="K140" s="3" t="s">
        <v>15</v>
      </c>
      <c r="L140" s="3" t="s">
        <v>15</v>
      </c>
      <c r="M140" s="3" t="s">
        <v>15</v>
      </c>
      <c r="N140" s="3" t="s">
        <v>15</v>
      </c>
      <c r="O140" s="3" t="s">
        <v>17</v>
      </c>
      <c r="S140" s="3" t="str">
        <f>IF(ORIG[[#This Row],[Phone Follower]]="Y","Y","N")</f>
        <v>N</v>
      </c>
    </row>
    <row r="141" spans="1:30">
      <c r="A141" s="3">
        <v>140</v>
      </c>
      <c r="B141" s="5">
        <v>0.48170138888888886</v>
      </c>
      <c r="C141" s="5">
        <v>0.48334490740740743</v>
      </c>
      <c r="D141" s="7">
        <f>ORIG[[#This Row],[Exit Time]]-ORIG[[#This Row],[Entry Time]]</f>
        <v>1.6435185185185719E-3</v>
      </c>
      <c r="E141" s="9">
        <f>ORIG[[#This Row],[Time Elapsed]]*24*60*60</f>
        <v>142.0000000000046</v>
      </c>
      <c r="F141" s="4">
        <f t="shared" si="14"/>
        <v>0.16901408450703678</v>
      </c>
      <c r="G141" s="3" t="s">
        <v>144</v>
      </c>
      <c r="H141" s="3" t="s">
        <v>14</v>
      </c>
      <c r="I141" s="3">
        <f t="shared" si="15"/>
        <v>24</v>
      </c>
      <c r="J141" s="3" t="s">
        <v>16</v>
      </c>
      <c r="K141" s="3" t="s">
        <v>16</v>
      </c>
      <c r="L141" s="3" t="s">
        <v>15</v>
      </c>
      <c r="M141" s="3" t="s">
        <v>16</v>
      </c>
      <c r="N141" s="3" t="s">
        <v>16</v>
      </c>
      <c r="O141" s="3" t="s">
        <v>51</v>
      </c>
      <c r="S141" s="3" t="str">
        <f>IF(ORIG[[#This Row],[Phone Follower]]="Y","Y","N")</f>
        <v>N</v>
      </c>
      <c r="Y141" t="s">
        <v>183</v>
      </c>
      <c r="Z141" s="1">
        <f>AVERAGE(F142:F151)</f>
        <v>0.93167711651472374</v>
      </c>
      <c r="AA141" t="s">
        <v>183</v>
      </c>
      <c r="AB141" s="1">
        <f>AVERAGE(F146:F155)</f>
        <v>1.188371628371534</v>
      </c>
      <c r="AC141" s="1"/>
      <c r="AD141" s="1"/>
    </row>
    <row r="142" spans="1:30">
      <c r="A142" s="3">
        <v>141</v>
      </c>
      <c r="B142" s="5">
        <v>0.48170138888888886</v>
      </c>
      <c r="C142" s="5">
        <v>0.48334490740740743</v>
      </c>
      <c r="D142" s="7">
        <f>ORIG[[#This Row],[Exit Time]]-ORIG[[#This Row],[Entry Time]]</f>
        <v>1.6435185185185719E-3</v>
      </c>
      <c r="E142" s="9">
        <f>ORIG[[#This Row],[Time Elapsed]]*24*60*60</f>
        <v>142.0000000000046</v>
      </c>
      <c r="F142" s="4">
        <f t="shared" si="14"/>
        <v>0.16901408450703678</v>
      </c>
      <c r="G142" s="3" t="s">
        <v>68</v>
      </c>
      <c r="H142" s="3" t="s">
        <v>14</v>
      </c>
      <c r="I142" s="3">
        <f t="shared" si="15"/>
        <v>24</v>
      </c>
      <c r="J142" s="3" t="s">
        <v>16</v>
      </c>
      <c r="K142" s="3" t="s">
        <v>15</v>
      </c>
      <c r="L142" s="3" t="s">
        <v>15</v>
      </c>
      <c r="M142" s="3" t="s">
        <v>15</v>
      </c>
      <c r="N142" s="3" t="s">
        <v>15</v>
      </c>
      <c r="O142" s="3" t="s">
        <v>51</v>
      </c>
      <c r="S142" s="3" t="str">
        <f>IF(ORIG[[#This Row],[Phone Follower]]="Y","Y","N")</f>
        <v>N</v>
      </c>
      <c r="AA142" t="s">
        <v>183</v>
      </c>
      <c r="AB142" s="1">
        <f>AVERAGE(F147:F156)</f>
        <v>1.188371628371534</v>
      </c>
    </row>
    <row r="143" spans="1:30">
      <c r="A143" s="3">
        <v>142</v>
      </c>
      <c r="B143" s="5">
        <v>0.48170138888888886</v>
      </c>
      <c r="C143" s="5">
        <v>0.48334490740740743</v>
      </c>
      <c r="D143" s="7">
        <f>ORIG[[#This Row],[Exit Time]]-ORIG[[#This Row],[Entry Time]]</f>
        <v>1.6435185185185719E-3</v>
      </c>
      <c r="E143" s="9">
        <f>ORIG[[#This Row],[Time Elapsed]]*24*60*60</f>
        <v>142.0000000000046</v>
      </c>
      <c r="F143" s="4">
        <f t="shared" si="14"/>
        <v>0.16901408450703678</v>
      </c>
      <c r="G143" s="3" t="s">
        <v>145</v>
      </c>
      <c r="H143" s="3" t="s">
        <v>14</v>
      </c>
      <c r="I143" s="3">
        <f t="shared" si="15"/>
        <v>24</v>
      </c>
      <c r="J143" s="3" t="s">
        <v>16</v>
      </c>
      <c r="K143" s="3" t="s">
        <v>15</v>
      </c>
      <c r="L143" s="3" t="s">
        <v>15</v>
      </c>
      <c r="M143" s="3" t="s">
        <v>15</v>
      </c>
      <c r="N143" s="3" t="s">
        <v>15</v>
      </c>
      <c r="O143" s="3" t="s">
        <v>17</v>
      </c>
      <c r="S143" s="3" t="str">
        <f>IF(ORIG[[#This Row],[Phone Follower]]="Y","Y","N")</f>
        <v>N</v>
      </c>
      <c r="AA143" t="s">
        <v>183</v>
      </c>
      <c r="AB143" s="1">
        <f>AVERAGE(F148:F157)</f>
        <v>1.1598001998001031</v>
      </c>
    </row>
    <row r="144" spans="1:30">
      <c r="A144" s="3">
        <v>143</v>
      </c>
      <c r="B144" s="5">
        <v>0.48173611111111114</v>
      </c>
      <c r="C144" s="5">
        <v>0.48200231481481487</v>
      </c>
      <c r="D144" s="7">
        <f>ORIG[[#This Row],[Exit Time]]-ORIG[[#This Row],[Entry Time]]</f>
        <v>2.6620370370372681E-4</v>
      </c>
      <c r="E144" s="9">
        <f>ORIG[[#This Row],[Time Elapsed]]*24*60*60</f>
        <v>23.000000000001997</v>
      </c>
      <c r="F144" s="4">
        <f t="shared" si="14"/>
        <v>1.0434782608694746</v>
      </c>
      <c r="G144" s="3" t="s">
        <v>146</v>
      </c>
      <c r="H144" s="3" t="s">
        <v>14</v>
      </c>
      <c r="I144" s="3">
        <f t="shared" si="15"/>
        <v>24</v>
      </c>
      <c r="J144" s="3" t="s">
        <v>15</v>
      </c>
      <c r="K144" s="3" t="s">
        <v>15</v>
      </c>
      <c r="L144" s="3" t="s">
        <v>15</v>
      </c>
      <c r="M144" s="3" t="s">
        <v>15</v>
      </c>
      <c r="N144" s="3" t="s">
        <v>15</v>
      </c>
      <c r="O144" s="3" t="s">
        <v>17</v>
      </c>
      <c r="S144" s="3" t="str">
        <f>IF(ORIG[[#This Row],[Phone Follower]]="Y","Y","N")</f>
        <v>N</v>
      </c>
    </row>
    <row r="145" spans="1:28">
      <c r="A145" s="3">
        <v>145</v>
      </c>
      <c r="B145" s="5">
        <v>0.48182870370370368</v>
      </c>
      <c r="C145" s="5">
        <v>0.48200231481481487</v>
      </c>
      <c r="D145" s="7">
        <f>ORIG[[#This Row],[Exit Time]]-ORIG[[#This Row],[Entry Time]]</f>
        <v>1.7361111111119376E-4</v>
      </c>
      <c r="E145" s="9">
        <f>ORIG[[#This Row],[Time Elapsed]]*24*60*60</f>
        <v>15.000000000007141</v>
      </c>
      <c r="F145" s="4">
        <f t="shared" si="14"/>
        <v>1.5999999999992383</v>
      </c>
      <c r="G145" s="3" t="s">
        <v>148</v>
      </c>
      <c r="H145" s="3" t="s">
        <v>14</v>
      </c>
      <c r="I145" s="3">
        <f t="shared" si="15"/>
        <v>24</v>
      </c>
      <c r="J145" s="3" t="s">
        <v>15</v>
      </c>
      <c r="K145" s="3" t="s">
        <v>16</v>
      </c>
      <c r="L145" s="3" t="s">
        <v>16</v>
      </c>
      <c r="M145" s="3" t="s">
        <v>15</v>
      </c>
      <c r="N145" s="3" t="s">
        <v>16</v>
      </c>
      <c r="O145" s="3" t="s">
        <v>51</v>
      </c>
      <c r="S145" s="3" t="str">
        <f>IF(ORIG[[#This Row],[Phone Follower]]="Y","Y","N")</f>
        <v>N</v>
      </c>
      <c r="W145" t="s">
        <v>183</v>
      </c>
      <c r="X145" s="1">
        <f>AVERAGE(F146:F155)</f>
        <v>1.188371628371534</v>
      </c>
      <c r="AB145" s="1"/>
    </row>
    <row r="146" spans="1:28" hidden="1">
      <c r="A146" s="3">
        <v>146</v>
      </c>
      <c r="B146" s="5">
        <v>0.48185185185185181</v>
      </c>
      <c r="C146" s="5">
        <v>0.48208333333333336</v>
      </c>
      <c r="D146" s="7">
        <f>ORIG[[#This Row],[Exit Time]]-ORIG[[#This Row],[Entry Time]]</f>
        <v>2.3148148148155467E-4</v>
      </c>
      <c r="E146" s="9">
        <f>ORIG[[#This Row],[Time Elapsed]]*24*60*60</f>
        <v>20.000000000006324</v>
      </c>
      <c r="F146" s="4">
        <f t="shared" si="14"/>
        <v>0.89999999999971547</v>
      </c>
      <c r="G146" s="3" t="s">
        <v>68</v>
      </c>
      <c r="H146" s="3" t="s">
        <v>19</v>
      </c>
      <c r="I146" s="3">
        <f t="shared" si="15"/>
        <v>18</v>
      </c>
      <c r="J146" s="3" t="s">
        <v>16</v>
      </c>
      <c r="K146" s="3" t="s">
        <v>15</v>
      </c>
      <c r="L146" s="3" t="s">
        <v>15</v>
      </c>
      <c r="M146" s="3" t="s">
        <v>15</v>
      </c>
      <c r="N146" s="3" t="s">
        <v>15</v>
      </c>
      <c r="O146" s="3" t="s">
        <v>51</v>
      </c>
      <c r="P146" s="3" t="s">
        <v>16</v>
      </c>
      <c r="R146" s="3" t="str">
        <f>IF(ORIG[[#This Row],[using phone?]]="Y","N","Y")</f>
        <v>Y</v>
      </c>
      <c r="S146" s="3" t="str">
        <f>IF(R143="Y","Y","N")</f>
        <v>N</v>
      </c>
      <c r="T146" s="3" t="str">
        <f>IF(S143="Y","Y","N")</f>
        <v>N</v>
      </c>
      <c r="AA146" t="s">
        <v>183</v>
      </c>
      <c r="AB146" s="1">
        <f>AVERAGE(F151:F160)</f>
        <v>1.2201345393735168</v>
      </c>
    </row>
    <row r="147" spans="1:28">
      <c r="A147" s="3">
        <v>147</v>
      </c>
      <c r="B147" s="5">
        <v>0.48188657407407409</v>
      </c>
      <c r="C147" s="5">
        <v>0.48212962962962963</v>
      </c>
      <c r="D147" s="7">
        <f>ORIG[[#This Row],[Exit Time]]-ORIG[[#This Row],[Entry Time]]</f>
        <v>2.4305555555553804E-4</v>
      </c>
      <c r="E147" s="9">
        <f>ORIG[[#This Row],[Time Elapsed]]*24*60*60</f>
        <v>20.999999999998487</v>
      </c>
      <c r="F147" s="4">
        <f t="shared" si="14"/>
        <v>1.1428571428572252</v>
      </c>
      <c r="G147" s="3" t="s">
        <v>149</v>
      </c>
      <c r="H147" s="3" t="s">
        <v>14</v>
      </c>
      <c r="I147" s="3">
        <f t="shared" si="15"/>
        <v>24</v>
      </c>
      <c r="J147" s="3" t="s">
        <v>15</v>
      </c>
      <c r="K147" s="3" t="s">
        <v>15</v>
      </c>
      <c r="L147" s="3" t="s">
        <v>15</v>
      </c>
      <c r="M147" s="3" t="s">
        <v>15</v>
      </c>
      <c r="N147" s="3" t="s">
        <v>16</v>
      </c>
      <c r="O147" s="3" t="s">
        <v>17</v>
      </c>
      <c r="S147" s="3" t="str">
        <f>IF(ORIG[[#This Row],[Phone Follower]]="Y","Y","N")</f>
        <v>N</v>
      </c>
    </row>
    <row r="148" spans="1:28" hidden="1">
      <c r="A148" s="3">
        <v>148</v>
      </c>
      <c r="B148" s="5">
        <v>0.48188657407407409</v>
      </c>
      <c r="C148" s="5">
        <v>0.48203703703703704</v>
      </c>
      <c r="D148" s="7">
        <f>ORIG[[#This Row],[Exit Time]]-ORIG[[#This Row],[Entry Time]]</f>
        <v>1.5046296296294948E-4</v>
      </c>
      <c r="E148" s="9">
        <f>ORIG[[#This Row],[Time Elapsed]]*24*60*60</f>
        <v>12.999999999998835</v>
      </c>
      <c r="F148" s="4">
        <f t="shared" si="14"/>
        <v>1.3846153846155087</v>
      </c>
      <c r="G148" s="3" t="s">
        <v>84</v>
      </c>
      <c r="H148" s="3" t="s">
        <v>19</v>
      </c>
      <c r="I148" s="3">
        <f t="shared" si="15"/>
        <v>18</v>
      </c>
      <c r="J148" s="3" t="s">
        <v>16</v>
      </c>
      <c r="K148" s="3" t="s">
        <v>15</v>
      </c>
      <c r="L148" s="3" t="s">
        <v>15</v>
      </c>
      <c r="M148" s="3" t="s">
        <v>15</v>
      </c>
      <c r="N148" s="3" t="s">
        <v>15</v>
      </c>
      <c r="O148" s="3" t="s">
        <v>17</v>
      </c>
      <c r="R148" s="3" t="str">
        <f>IF(ORIG[[#This Row],[using phone?]]="Y","N","Y")</f>
        <v>Y</v>
      </c>
      <c r="S148" s="3" t="str">
        <f t="shared" ref="S148:T153" si="16">IF(R145="Y","Y","N")</f>
        <v>N</v>
      </c>
      <c r="T148" s="3" t="str">
        <f t="shared" si="16"/>
        <v>N</v>
      </c>
      <c r="AA148" t="s">
        <v>183</v>
      </c>
      <c r="AB148" s="1">
        <f>AVERAGE(F153:F162)</f>
        <v>1.194352426749266</v>
      </c>
    </row>
    <row r="149" spans="1:28" hidden="1">
      <c r="A149" s="3">
        <v>149</v>
      </c>
      <c r="B149" s="5">
        <v>0.48189814814814813</v>
      </c>
      <c r="C149" s="5">
        <v>0.48481481481481481</v>
      </c>
      <c r="D149" s="7">
        <f>ORIG[[#This Row],[Exit Time]]-ORIG[[#This Row],[Entry Time]]</f>
        <v>2.9166666666666785E-3</v>
      </c>
      <c r="E149" s="9">
        <f>ORIG[[#This Row],[Time Elapsed]]*24*60*60</f>
        <v>252.00000000000102</v>
      </c>
      <c r="F149" s="4">
        <f t="shared" si="14"/>
        <v>7.1428571428571133E-2</v>
      </c>
      <c r="G149" s="3" t="s">
        <v>150</v>
      </c>
      <c r="H149" s="3" t="s">
        <v>19</v>
      </c>
      <c r="I149" s="3">
        <f t="shared" si="15"/>
        <v>18</v>
      </c>
      <c r="J149" s="3" t="s">
        <v>16</v>
      </c>
      <c r="K149" s="3" t="s">
        <v>15</v>
      </c>
      <c r="L149" s="3" t="s">
        <v>15</v>
      </c>
      <c r="M149" s="3" t="s">
        <v>15</v>
      </c>
      <c r="N149" s="3" t="s">
        <v>16</v>
      </c>
      <c r="O149" s="3" t="s">
        <v>17</v>
      </c>
      <c r="R149" s="3" t="str">
        <f>IF(ORIG[[#This Row],[using phone?]]="Y","N","Y")</f>
        <v>Y</v>
      </c>
      <c r="S149" s="3" t="str">
        <f t="shared" si="16"/>
        <v>Y</v>
      </c>
      <c r="T149" s="3" t="str">
        <f t="shared" si="16"/>
        <v>N</v>
      </c>
      <c r="AA149" t="s">
        <v>183</v>
      </c>
      <c r="AB149" s="1">
        <f>AVERAGE(F154:F163)</f>
        <v>1.1892242216210636</v>
      </c>
    </row>
    <row r="150" spans="1:28" hidden="1">
      <c r="A150" s="3">
        <v>150</v>
      </c>
      <c r="B150" s="5">
        <v>0.48190972222222223</v>
      </c>
      <c r="C150" s="5">
        <v>0.48208333333333336</v>
      </c>
      <c r="D150" s="7">
        <f>ORIG[[#This Row],[Exit Time]]-ORIG[[#This Row],[Entry Time]]</f>
        <v>1.7361111111113825E-4</v>
      </c>
      <c r="E150" s="9">
        <f>ORIG[[#This Row],[Time Elapsed]]*24*60*60</f>
        <v>15.000000000002345</v>
      </c>
      <c r="F150" s="4">
        <f t="shared" si="14"/>
        <v>1.1999999999998123</v>
      </c>
      <c r="G150" s="3" t="s">
        <v>152</v>
      </c>
      <c r="H150" s="3" t="s">
        <v>19</v>
      </c>
      <c r="I150" s="3">
        <f t="shared" si="15"/>
        <v>18</v>
      </c>
      <c r="J150" s="3" t="s">
        <v>16</v>
      </c>
      <c r="K150" s="3" t="s">
        <v>15</v>
      </c>
      <c r="L150" s="3" t="s">
        <v>15</v>
      </c>
      <c r="M150" s="3" t="s">
        <v>15</v>
      </c>
      <c r="N150" s="3" t="s">
        <v>15</v>
      </c>
      <c r="O150" s="3" t="s">
        <v>17</v>
      </c>
      <c r="P150" s="3" t="s">
        <v>16</v>
      </c>
      <c r="R150" s="3" t="str">
        <f>IF(ORIG[[#This Row],[using phone?]]="Y","N","Y")</f>
        <v>Y</v>
      </c>
      <c r="S150" s="3" t="str">
        <f t="shared" si="16"/>
        <v>N</v>
      </c>
      <c r="T150" s="3" t="str">
        <f t="shared" si="16"/>
        <v>N</v>
      </c>
      <c r="AA150" t="s">
        <v>183</v>
      </c>
      <c r="AB150" s="1">
        <f>AVERAGE(F155:F164)</f>
        <v>1.208271840668715</v>
      </c>
    </row>
    <row r="151" spans="1:28" hidden="1">
      <c r="A151" s="3">
        <v>151</v>
      </c>
      <c r="B151" s="5">
        <v>0.48192129629629626</v>
      </c>
      <c r="C151" s="5">
        <v>0.48204861111111108</v>
      </c>
      <c r="D151" s="7">
        <f>ORIG[[#This Row],[Exit Time]]-ORIG[[#This Row],[Entry Time]]</f>
        <v>1.2731481481481621E-4</v>
      </c>
      <c r="E151" s="9">
        <f>ORIG[[#This Row],[Time Elapsed]]*24*60*60</f>
        <v>11.000000000000121</v>
      </c>
      <c r="F151" s="4">
        <f t="shared" si="14"/>
        <v>1.6363636363636185</v>
      </c>
      <c r="G151" s="3" t="s">
        <v>151</v>
      </c>
      <c r="H151" s="3" t="s">
        <v>19</v>
      </c>
      <c r="I151" s="3">
        <f t="shared" si="15"/>
        <v>18</v>
      </c>
      <c r="J151" s="3" t="s">
        <v>15</v>
      </c>
      <c r="K151" s="3" t="s">
        <v>15</v>
      </c>
      <c r="L151" s="3" t="s">
        <v>15</v>
      </c>
      <c r="M151" s="3" t="s">
        <v>15</v>
      </c>
      <c r="N151" s="3" t="s">
        <v>15</v>
      </c>
      <c r="O151" s="3" t="s">
        <v>51</v>
      </c>
      <c r="Q151" s="3" t="s">
        <v>203</v>
      </c>
      <c r="R151" s="3" t="str">
        <f>IF(ORIG[[#This Row],[using phone?]]="Y","N","Y")</f>
        <v>Y</v>
      </c>
      <c r="S151" s="3" t="str">
        <f t="shared" si="16"/>
        <v>Y</v>
      </c>
      <c r="T151" s="3" t="str">
        <f t="shared" si="16"/>
        <v>N</v>
      </c>
    </row>
    <row r="152" spans="1:28" hidden="1">
      <c r="A152" s="3">
        <v>152</v>
      </c>
      <c r="B152" s="5">
        <v>0.48193287037037041</v>
      </c>
      <c r="C152" s="5">
        <v>0.48208333333333336</v>
      </c>
      <c r="D152" s="7">
        <f>ORIG[[#This Row],[Exit Time]]-ORIG[[#This Row],[Entry Time]]</f>
        <v>1.5046296296294948E-4</v>
      </c>
      <c r="E152" s="9">
        <f>ORIG[[#This Row],[Time Elapsed]]*24*60*60</f>
        <v>12.999999999998835</v>
      </c>
      <c r="F152" s="4">
        <f t="shared" si="14"/>
        <v>1.3846153846155087</v>
      </c>
      <c r="G152" s="3" t="s">
        <v>153</v>
      </c>
      <c r="H152" s="3" t="s">
        <v>19</v>
      </c>
      <c r="I152" s="3">
        <f t="shared" si="15"/>
        <v>18</v>
      </c>
      <c r="J152" s="3" t="s">
        <v>16</v>
      </c>
      <c r="K152" s="3" t="s">
        <v>16</v>
      </c>
      <c r="L152" s="3" t="s">
        <v>16</v>
      </c>
      <c r="M152" s="3" t="s">
        <v>15</v>
      </c>
      <c r="N152" s="3" t="s">
        <v>16</v>
      </c>
      <c r="O152" s="3" t="s">
        <v>17</v>
      </c>
      <c r="R152" s="3" t="str">
        <f>IF(ORIG[[#This Row],[using phone?]]="Y","N","Y")</f>
        <v>N</v>
      </c>
      <c r="S152" s="3" t="str">
        <f t="shared" si="16"/>
        <v>Y</v>
      </c>
      <c r="T152" s="3" t="str">
        <f t="shared" si="16"/>
        <v>Y</v>
      </c>
      <c r="W152" t="s">
        <v>183</v>
      </c>
      <c r="X152" s="1">
        <f>AVERAGE(F153:F162)</f>
        <v>1.194352426749266</v>
      </c>
      <c r="AA152" t="s">
        <v>183</v>
      </c>
      <c r="AB152" s="1">
        <f>AVERAGE(F153:F162)</f>
        <v>1.194352426749266</v>
      </c>
    </row>
    <row r="153" spans="1:28" hidden="1">
      <c r="A153" s="3">
        <v>153</v>
      </c>
      <c r="B153" s="5">
        <v>0.48194444444444445</v>
      </c>
      <c r="C153" s="5">
        <v>0.4820949074074074</v>
      </c>
      <c r="D153" s="7">
        <f>ORIG[[#This Row],[Exit Time]]-ORIG[[#This Row],[Entry Time]]</f>
        <v>1.5046296296294948E-4</v>
      </c>
      <c r="E153" s="9">
        <f>ORIG[[#This Row],[Time Elapsed]]*24*60*60</f>
        <v>12.999999999998835</v>
      </c>
      <c r="F153" s="4">
        <f t="shared" si="14"/>
        <v>1.3846153846155087</v>
      </c>
      <c r="G153" s="3" t="s">
        <v>154</v>
      </c>
      <c r="H153" s="3" t="s">
        <v>19</v>
      </c>
      <c r="I153" s="3">
        <f t="shared" si="15"/>
        <v>18</v>
      </c>
      <c r="J153" s="3" t="s">
        <v>16</v>
      </c>
      <c r="K153" s="3" t="s">
        <v>15</v>
      </c>
      <c r="L153" s="3" t="s">
        <v>15</v>
      </c>
      <c r="M153" s="3" t="s">
        <v>15</v>
      </c>
      <c r="N153" s="3" t="s">
        <v>15</v>
      </c>
      <c r="O153" s="3" t="s">
        <v>17</v>
      </c>
      <c r="R153" s="3" t="str">
        <f>IF(ORIG[[#This Row],[using phone?]]="Y","N","Y")</f>
        <v>Y</v>
      </c>
      <c r="S153" s="3" t="str">
        <f t="shared" si="16"/>
        <v>Y</v>
      </c>
      <c r="T153" s="3" t="str">
        <f t="shared" si="16"/>
        <v>N</v>
      </c>
      <c r="AA153" t="s">
        <v>183</v>
      </c>
      <c r="AB153" s="1">
        <f>AVERAGE(F158:F167)</f>
        <v>1.1770551626099941</v>
      </c>
    </row>
    <row r="154" spans="1:28">
      <c r="A154" s="3">
        <v>154</v>
      </c>
      <c r="B154" s="5">
        <v>0.48197916666666668</v>
      </c>
      <c r="C154" s="5">
        <v>0.48222222222222227</v>
      </c>
      <c r="D154" s="7">
        <f>ORIG[[#This Row],[Exit Time]]-ORIG[[#This Row],[Entry Time]]</f>
        <v>2.4305555555559355E-4</v>
      </c>
      <c r="E154" s="9">
        <f>ORIG[[#This Row],[Time Elapsed]]*24*60*60</f>
        <v>21.000000000003283</v>
      </c>
      <c r="F154" s="4">
        <f t="shared" si="14"/>
        <v>1.1428571428569643</v>
      </c>
      <c r="G154" s="3" t="s">
        <v>155</v>
      </c>
      <c r="H154" s="3" t="s">
        <v>14</v>
      </c>
      <c r="I154" s="3">
        <f t="shared" si="15"/>
        <v>24</v>
      </c>
      <c r="J154" s="3" t="s">
        <v>15</v>
      </c>
      <c r="K154" s="3" t="s">
        <v>15</v>
      </c>
      <c r="L154" s="3" t="s">
        <v>15</v>
      </c>
      <c r="M154" s="3" t="s">
        <v>15</v>
      </c>
      <c r="N154" s="3" t="s">
        <v>15</v>
      </c>
      <c r="O154" s="3" t="s">
        <v>17</v>
      </c>
      <c r="S154" s="3" t="str">
        <f>IF(ORIG[[#This Row],[Phone Follower]]="Y","Y","N")</f>
        <v>N</v>
      </c>
    </row>
    <row r="155" spans="1:28" hidden="1">
      <c r="A155" s="3">
        <v>155</v>
      </c>
      <c r="B155" s="5">
        <v>0.48204861111111108</v>
      </c>
      <c r="C155" s="5">
        <v>0.48217592592592595</v>
      </c>
      <c r="D155" s="7">
        <f>ORIG[[#This Row],[Exit Time]]-ORIG[[#This Row],[Entry Time]]</f>
        <v>1.2731481481487172E-4</v>
      </c>
      <c r="E155" s="9">
        <f>ORIG[[#This Row],[Time Elapsed]]*24*60*60</f>
        <v>11.000000000004917</v>
      </c>
      <c r="F155" s="4">
        <f t="shared" si="14"/>
        <v>1.6363636363629048</v>
      </c>
      <c r="G155" s="3" t="s">
        <v>156</v>
      </c>
      <c r="H155" s="3" t="s">
        <v>19</v>
      </c>
      <c r="I155" s="3">
        <f t="shared" si="15"/>
        <v>18</v>
      </c>
      <c r="J155" s="3" t="s">
        <v>15</v>
      </c>
      <c r="K155" s="3" t="s">
        <v>15</v>
      </c>
      <c r="L155" s="3" t="s">
        <v>15</v>
      </c>
      <c r="M155" s="3" t="s">
        <v>15</v>
      </c>
      <c r="N155" s="3" t="s">
        <v>15</v>
      </c>
      <c r="O155" s="3" t="s">
        <v>17</v>
      </c>
      <c r="R155" s="3" t="str">
        <f>IF(ORIG[[#This Row],[using phone?]]="Y","N","Y")</f>
        <v>Y</v>
      </c>
      <c r="S155" s="3" t="str">
        <f t="shared" ref="S155:T158" si="17">IF(R152="Y","Y","N")</f>
        <v>N</v>
      </c>
      <c r="T155" s="3" t="str">
        <f t="shared" si="17"/>
        <v>Y</v>
      </c>
    </row>
    <row r="156" spans="1:28" hidden="1">
      <c r="A156" s="3">
        <v>156</v>
      </c>
      <c r="B156" s="5">
        <v>0.48214120370370367</v>
      </c>
      <c r="C156" s="5">
        <v>0.48237268518518522</v>
      </c>
      <c r="D156" s="7">
        <f>ORIG[[#This Row],[Exit Time]]-ORIG[[#This Row],[Entry Time]]</f>
        <v>2.3148148148155467E-4</v>
      </c>
      <c r="E156" s="9">
        <f>ORIG[[#This Row],[Time Elapsed]]*24*60*60</f>
        <v>20.000000000006324</v>
      </c>
      <c r="F156" s="4">
        <f t="shared" si="14"/>
        <v>0.89999999999971547</v>
      </c>
      <c r="G156" s="3" t="s">
        <v>160</v>
      </c>
      <c r="H156" s="3" t="s">
        <v>19</v>
      </c>
      <c r="I156" s="3">
        <f t="shared" si="15"/>
        <v>18</v>
      </c>
      <c r="J156" s="3" t="s">
        <v>16</v>
      </c>
      <c r="K156" s="3" t="s">
        <v>15</v>
      </c>
      <c r="L156" s="3" t="s">
        <v>15</v>
      </c>
      <c r="M156" s="3" t="s">
        <v>15</v>
      </c>
      <c r="N156" s="3" t="s">
        <v>15</v>
      </c>
      <c r="O156" s="3" t="s">
        <v>17</v>
      </c>
      <c r="R156" s="3" t="str">
        <f>IF(ORIG[[#This Row],[using phone?]]="Y","N","Y")</f>
        <v>Y</v>
      </c>
      <c r="S156" s="3" t="str">
        <f t="shared" si="17"/>
        <v>Y</v>
      </c>
      <c r="T156" s="3" t="str">
        <f t="shared" si="17"/>
        <v>Y</v>
      </c>
      <c r="AA156" t="s">
        <v>183</v>
      </c>
      <c r="AB156" s="1">
        <f>AVERAGE(F161:F170)</f>
        <v>1.1941110798385401</v>
      </c>
    </row>
    <row r="157" spans="1:28" hidden="1">
      <c r="A157" s="3">
        <v>157</v>
      </c>
      <c r="B157" s="5">
        <v>0.48216435185185186</v>
      </c>
      <c r="C157" s="5">
        <v>0.4824074074074074</v>
      </c>
      <c r="D157" s="7">
        <f>ORIG[[#This Row],[Exit Time]]-ORIG[[#This Row],[Entry Time]]</f>
        <v>2.4305555555553804E-4</v>
      </c>
      <c r="E157" s="9">
        <f>ORIG[[#This Row],[Time Elapsed]]*24*60*60</f>
        <v>20.999999999998487</v>
      </c>
      <c r="F157" s="4">
        <f t="shared" si="14"/>
        <v>0.85714285714291893</v>
      </c>
      <c r="G157" s="3" t="s">
        <v>161</v>
      </c>
      <c r="H157" s="3" t="s">
        <v>19</v>
      </c>
      <c r="I157" s="3">
        <f t="shared" si="15"/>
        <v>18</v>
      </c>
      <c r="J157" s="3" t="s">
        <v>15</v>
      </c>
      <c r="K157" s="3" t="s">
        <v>15</v>
      </c>
      <c r="L157" s="3" t="s">
        <v>15</v>
      </c>
      <c r="M157" s="3" t="s">
        <v>15</v>
      </c>
      <c r="N157" s="3" t="s">
        <v>15</v>
      </c>
      <c r="O157" s="3" t="s">
        <v>51</v>
      </c>
      <c r="R157" s="3" t="str">
        <f>IF(ORIG[[#This Row],[using phone?]]="Y","N","Y")</f>
        <v>Y</v>
      </c>
      <c r="S157" s="3" t="str">
        <f t="shared" si="17"/>
        <v>N</v>
      </c>
      <c r="T157" s="3" t="str">
        <f t="shared" si="17"/>
        <v>N</v>
      </c>
    </row>
    <row r="158" spans="1:28" hidden="1">
      <c r="A158" s="3">
        <v>158</v>
      </c>
      <c r="B158" s="5">
        <v>0.48218749999999999</v>
      </c>
      <c r="C158" s="5">
        <v>0.48237268518518522</v>
      </c>
      <c r="D158" s="7">
        <f>ORIG[[#This Row],[Exit Time]]-ORIG[[#This Row],[Entry Time]]</f>
        <v>1.8518518518523264E-4</v>
      </c>
      <c r="E158" s="9">
        <f>ORIG[[#This Row],[Time Elapsed]]*24*60*60</f>
        <v>16.0000000000041</v>
      </c>
      <c r="F158" s="4">
        <f t="shared" si="14"/>
        <v>1.1249999999997118</v>
      </c>
      <c r="G158" s="3" t="s">
        <v>97</v>
      </c>
      <c r="H158" s="3" t="s">
        <v>19</v>
      </c>
      <c r="I158" s="3">
        <f t="shared" si="15"/>
        <v>18</v>
      </c>
      <c r="J158" s="3" t="s">
        <v>16</v>
      </c>
      <c r="K158" s="3" t="s">
        <v>15</v>
      </c>
      <c r="L158" s="3" t="s">
        <v>15</v>
      </c>
      <c r="M158" s="3" t="s">
        <v>15</v>
      </c>
      <c r="N158" s="3" t="s">
        <v>15</v>
      </c>
      <c r="O158" s="3" t="s">
        <v>17</v>
      </c>
      <c r="R158" s="3" t="str">
        <f>IF(ORIG[[#This Row],[using phone?]]="Y","N","Y")</f>
        <v>Y</v>
      </c>
      <c r="S158" s="3" t="str">
        <f t="shared" si="17"/>
        <v>Y</v>
      </c>
      <c r="T158" s="3" t="str">
        <f t="shared" si="17"/>
        <v>N</v>
      </c>
      <c r="AA158" t="s">
        <v>183</v>
      </c>
      <c r="AB158" s="1">
        <f>AVERAGE(F163:F172)</f>
        <v>1.1641110798385834</v>
      </c>
    </row>
    <row r="159" spans="1:28">
      <c r="A159" s="3">
        <v>159</v>
      </c>
      <c r="B159" s="5">
        <v>0.48219907407407409</v>
      </c>
      <c r="C159" s="5">
        <v>0.48246527777777781</v>
      </c>
      <c r="D159" s="7">
        <f>ORIG[[#This Row],[Exit Time]]-ORIG[[#This Row],[Entry Time]]</f>
        <v>2.6620370370372681E-4</v>
      </c>
      <c r="E159" s="9">
        <f>ORIG[[#This Row],[Time Elapsed]]*24*60*60</f>
        <v>23.000000000001997</v>
      </c>
      <c r="F159" s="4">
        <f t="shared" si="14"/>
        <v>1.0434782608694746</v>
      </c>
      <c r="G159" s="3" t="s">
        <v>157</v>
      </c>
      <c r="H159" s="3" t="s">
        <v>14</v>
      </c>
      <c r="I159" s="3">
        <f t="shared" si="15"/>
        <v>24</v>
      </c>
      <c r="J159" s="3" t="s">
        <v>15</v>
      </c>
      <c r="K159" s="3" t="s">
        <v>16</v>
      </c>
      <c r="L159" s="3" t="s">
        <v>16</v>
      </c>
      <c r="M159" s="3" t="s">
        <v>15</v>
      </c>
      <c r="N159" s="3" t="s">
        <v>16</v>
      </c>
      <c r="O159" s="3" t="s">
        <v>17</v>
      </c>
      <c r="S159" s="3" t="str">
        <f>IF(ORIG[[#This Row],[Phone Follower]]="Y","Y","N")</f>
        <v>N</v>
      </c>
      <c r="W159" t="s">
        <v>183</v>
      </c>
      <c r="X159" s="1">
        <f>AVERAGE(F160:F169)</f>
        <v>1.1832019889294432</v>
      </c>
      <c r="AB159" s="1"/>
    </row>
    <row r="160" spans="1:28">
      <c r="A160" s="3">
        <v>160</v>
      </c>
      <c r="B160" s="5">
        <v>0.48221064814814812</v>
      </c>
      <c r="C160" s="5">
        <v>0.48246527777777781</v>
      </c>
      <c r="D160" s="7">
        <f>ORIG[[#This Row],[Exit Time]]-ORIG[[#This Row],[Entry Time]]</f>
        <v>2.5462962962968794E-4</v>
      </c>
      <c r="E160" s="9">
        <f>ORIG[[#This Row],[Time Elapsed]]*24*60*60</f>
        <v>22.000000000005038</v>
      </c>
      <c r="F160" s="4">
        <f t="shared" si="14"/>
        <v>1.090909090908841</v>
      </c>
      <c r="G160" s="3" t="s">
        <v>158</v>
      </c>
      <c r="H160" s="3" t="s">
        <v>14</v>
      </c>
      <c r="I160" s="3">
        <f t="shared" si="15"/>
        <v>24</v>
      </c>
      <c r="J160" s="3" t="s">
        <v>15</v>
      </c>
      <c r="K160" s="3" t="s">
        <v>15</v>
      </c>
      <c r="L160" s="3" t="s">
        <v>15</v>
      </c>
      <c r="M160" s="3" t="s">
        <v>15</v>
      </c>
      <c r="N160" s="3" t="s">
        <v>16</v>
      </c>
      <c r="O160" s="3" t="s">
        <v>51</v>
      </c>
      <c r="S160" s="3" t="str">
        <f>IF(ORIG[[#This Row],[Phone Follower]]="Y","Y","N")</f>
        <v>N</v>
      </c>
    </row>
    <row r="161" spans="1:28">
      <c r="A161" s="3">
        <v>161</v>
      </c>
      <c r="B161" s="5">
        <v>0.48225694444444445</v>
      </c>
      <c r="C161" s="5">
        <v>0.48247685185185185</v>
      </c>
      <c r="D161" s="7">
        <f>ORIG[[#This Row],[Exit Time]]-ORIG[[#This Row],[Entry Time]]</f>
        <v>2.1990740740740478E-4</v>
      </c>
      <c r="E161" s="9">
        <f>ORIG[[#This Row],[Time Elapsed]]*24*60*60</f>
        <v>18.999999999999773</v>
      </c>
      <c r="F161" s="4">
        <f t="shared" si="14"/>
        <v>1.2631578947368571</v>
      </c>
      <c r="G161" s="3" t="s">
        <v>159</v>
      </c>
      <c r="H161" s="3" t="s">
        <v>14</v>
      </c>
      <c r="I161" s="3">
        <f t="shared" si="15"/>
        <v>24</v>
      </c>
      <c r="J161" s="3" t="s">
        <v>15</v>
      </c>
      <c r="K161" s="3" t="s">
        <v>16</v>
      </c>
      <c r="L161" s="3" t="s">
        <v>16</v>
      </c>
      <c r="M161" s="3" t="s">
        <v>15</v>
      </c>
      <c r="N161" s="3" t="s">
        <v>16</v>
      </c>
      <c r="O161" s="3" t="s">
        <v>51</v>
      </c>
      <c r="S161" s="3" t="str">
        <f>IF(ORIG[[#This Row],[Phone Follower]]="Y","Y","N")</f>
        <v>N</v>
      </c>
      <c r="W161" t="s">
        <v>183</v>
      </c>
      <c r="X161" s="1">
        <f>AVERAGE(F162:F171)</f>
        <v>1.1877952903648743</v>
      </c>
      <c r="AB161" s="1"/>
    </row>
    <row r="162" spans="1:28" hidden="1">
      <c r="A162" s="3">
        <v>162</v>
      </c>
      <c r="B162" s="5">
        <v>0.48231481481481481</v>
      </c>
      <c r="C162" s="5">
        <v>0.48245370370370372</v>
      </c>
      <c r="D162" s="7">
        <f>ORIG[[#This Row],[Exit Time]]-ORIG[[#This Row],[Entry Time]]</f>
        <v>1.388888888889106E-4</v>
      </c>
      <c r="E162" s="9">
        <f>ORIG[[#This Row],[Time Elapsed]]*24*60*60</f>
        <v>12.000000000001876</v>
      </c>
      <c r="F162" s="4">
        <f t="shared" ref="F162:F181" si="18">I162/E162</f>
        <v>1.4999999999997655</v>
      </c>
      <c r="G162" s="3" t="s">
        <v>163</v>
      </c>
      <c r="H162" s="3" t="s">
        <v>19</v>
      </c>
      <c r="I162" s="3">
        <f t="shared" ref="I162:I181" si="19">IF(H162="away", $AE$1, $AF$1)</f>
        <v>18</v>
      </c>
      <c r="J162" s="3" t="s">
        <v>15</v>
      </c>
      <c r="K162" s="3" t="s">
        <v>16</v>
      </c>
      <c r="L162" s="3" t="s">
        <v>16</v>
      </c>
      <c r="M162" s="3" t="s">
        <v>15</v>
      </c>
      <c r="N162" s="3" t="s">
        <v>16</v>
      </c>
      <c r="O162" s="3" t="s">
        <v>51</v>
      </c>
      <c r="R162" s="3" t="str">
        <f>IF(ORIG[[#This Row],[using phone?]]="Y","N","Y")</f>
        <v>N</v>
      </c>
      <c r="S162" s="3" t="str">
        <f>IF(R159="Y","Y","N")</f>
        <v>N</v>
      </c>
      <c r="T162" s="3" t="str">
        <f>IF(S159="Y","Y","N")</f>
        <v>N</v>
      </c>
      <c r="W162" t="s">
        <v>183</v>
      </c>
      <c r="X162" s="1">
        <f>AVERAGE(F163:F172)</f>
        <v>1.1641110798385834</v>
      </c>
      <c r="AB162" s="1"/>
    </row>
    <row r="163" spans="1:28">
      <c r="A163" s="3">
        <v>163</v>
      </c>
      <c r="B163" s="5">
        <v>0.48234953703703703</v>
      </c>
      <c r="C163" s="5">
        <v>0.48255787037037035</v>
      </c>
      <c r="D163" s="7">
        <f>ORIG[[#This Row],[Exit Time]]-ORIG[[#This Row],[Entry Time]]</f>
        <v>2.0833333333331039E-4</v>
      </c>
      <c r="E163" s="9">
        <f>ORIG[[#This Row],[Time Elapsed]]*24*60*60</f>
        <v>17.999999999998018</v>
      </c>
      <c r="F163" s="4">
        <f t="shared" si="18"/>
        <v>1.3333333333334803</v>
      </c>
      <c r="G163" s="3" t="s">
        <v>162</v>
      </c>
      <c r="H163" s="3" t="s">
        <v>14</v>
      </c>
      <c r="I163" s="3">
        <f t="shared" si="19"/>
        <v>24</v>
      </c>
      <c r="J163" s="3" t="s">
        <v>15</v>
      </c>
      <c r="K163" s="3" t="s">
        <v>15</v>
      </c>
      <c r="L163" s="3" t="s">
        <v>15</v>
      </c>
      <c r="M163" s="3" t="s">
        <v>15</v>
      </c>
      <c r="N163" s="3" t="s">
        <v>16</v>
      </c>
      <c r="O163" s="3" t="s">
        <v>51</v>
      </c>
      <c r="S163" s="3" t="str">
        <f>IF(ORIG[[#This Row],[Phone Follower]]="Y","Y","N")</f>
        <v>N</v>
      </c>
    </row>
    <row r="164" spans="1:28">
      <c r="A164" s="3">
        <v>164</v>
      </c>
      <c r="B164" s="5">
        <v>0.48239583333333336</v>
      </c>
      <c r="C164" s="5">
        <v>0.48260416666666667</v>
      </c>
      <c r="D164" s="7">
        <f>ORIG[[#This Row],[Exit Time]]-ORIG[[#This Row],[Entry Time]]</f>
        <v>2.0833333333331039E-4</v>
      </c>
      <c r="E164" s="9">
        <f>ORIG[[#This Row],[Time Elapsed]]*24*60*60</f>
        <v>17.999999999998018</v>
      </c>
      <c r="F164" s="4">
        <f t="shared" si="18"/>
        <v>1.3333333333334803</v>
      </c>
      <c r="G164" s="3" t="s">
        <v>164</v>
      </c>
      <c r="H164" s="3" t="s">
        <v>14</v>
      </c>
      <c r="I164" s="3">
        <f t="shared" si="19"/>
        <v>24</v>
      </c>
      <c r="J164" s="3" t="s">
        <v>16</v>
      </c>
      <c r="K164" s="3" t="s">
        <v>15</v>
      </c>
      <c r="L164" s="3" t="s">
        <v>15</v>
      </c>
      <c r="M164" s="3" t="s">
        <v>15</v>
      </c>
      <c r="N164" s="3" t="s">
        <v>15</v>
      </c>
      <c r="O164" s="3" t="s">
        <v>17</v>
      </c>
      <c r="S164" s="3" t="str">
        <f>IF(ORIG[[#This Row],[Phone Follower]]="Y","Y","N")</f>
        <v>N</v>
      </c>
      <c r="AA164" t="s">
        <v>183</v>
      </c>
      <c r="AB164" s="1">
        <f>AVERAGE(F169:F178)</f>
        <v>1.2432247731628574</v>
      </c>
    </row>
    <row r="165" spans="1:28">
      <c r="A165" s="3">
        <v>165</v>
      </c>
      <c r="B165" s="5">
        <v>0.48239583333333336</v>
      </c>
      <c r="C165" s="5">
        <v>0.48261574074074076</v>
      </c>
      <c r="D165" s="7">
        <f>ORIG[[#This Row],[Exit Time]]-ORIG[[#This Row],[Entry Time]]</f>
        <v>2.1990740740740478E-4</v>
      </c>
      <c r="E165" s="9">
        <f>ORIG[[#This Row],[Time Elapsed]]*24*60*60</f>
        <v>18.999999999999773</v>
      </c>
      <c r="F165" s="4">
        <f t="shared" si="18"/>
        <v>1.2631578947368571</v>
      </c>
      <c r="G165" s="3" t="s">
        <v>165</v>
      </c>
      <c r="H165" s="3" t="s">
        <v>14</v>
      </c>
      <c r="I165" s="3">
        <f t="shared" si="19"/>
        <v>24</v>
      </c>
      <c r="J165" s="3" t="s">
        <v>16</v>
      </c>
      <c r="K165" s="3" t="s">
        <v>15</v>
      </c>
      <c r="L165" s="3" t="s">
        <v>15</v>
      </c>
      <c r="M165" s="3" t="s">
        <v>15</v>
      </c>
      <c r="N165" s="3" t="s">
        <v>15</v>
      </c>
      <c r="O165" s="3" t="s">
        <v>17</v>
      </c>
      <c r="S165" s="3" t="str">
        <f>IF(ORIG[[#This Row],[Phone Follower]]="Y","Y","N")</f>
        <v>N</v>
      </c>
      <c r="AA165" t="s">
        <v>183</v>
      </c>
      <c r="AB165" s="1">
        <f>AVERAGE(F170:F179)</f>
        <v>1.2220483025746522</v>
      </c>
    </row>
    <row r="166" spans="1:28" hidden="1">
      <c r="A166" s="3">
        <v>166</v>
      </c>
      <c r="B166" s="5">
        <v>0.48243055555555553</v>
      </c>
      <c r="C166" s="5">
        <v>0.48268518518518522</v>
      </c>
      <c r="D166" s="7">
        <f>ORIG[[#This Row],[Exit Time]]-ORIG[[#This Row],[Entry Time]]</f>
        <v>2.5462962962968794E-4</v>
      </c>
      <c r="E166" s="9">
        <f>ORIG[[#This Row],[Time Elapsed]]*24*60*60</f>
        <v>22.000000000005038</v>
      </c>
      <c r="F166" s="4">
        <f t="shared" si="18"/>
        <v>0.81818181818163083</v>
      </c>
      <c r="G166" s="3" t="s">
        <v>166</v>
      </c>
      <c r="H166" s="3" t="s">
        <v>19</v>
      </c>
      <c r="I166" s="3">
        <f t="shared" si="19"/>
        <v>18</v>
      </c>
      <c r="J166" s="3" t="s">
        <v>15</v>
      </c>
      <c r="K166" s="3" t="s">
        <v>15</v>
      </c>
      <c r="L166" s="3" t="s">
        <v>15</v>
      </c>
      <c r="M166" s="3" t="s">
        <v>15</v>
      </c>
      <c r="N166" s="3" t="s">
        <v>15</v>
      </c>
      <c r="O166" s="3" t="s">
        <v>51</v>
      </c>
      <c r="Q166" s="3" t="s">
        <v>202</v>
      </c>
      <c r="R166" s="3" t="str">
        <f>IF(ORIG[[#This Row],[using phone?]]="Y","N","Y")</f>
        <v>Y</v>
      </c>
      <c r="S166" s="3" t="str">
        <f t="shared" ref="S166:T168" si="20">IF(R163="Y","Y","N")</f>
        <v>N</v>
      </c>
      <c r="T166" s="3" t="str">
        <f t="shared" si="20"/>
        <v>N</v>
      </c>
    </row>
    <row r="167" spans="1:28" hidden="1">
      <c r="A167" s="3">
        <v>167</v>
      </c>
      <c r="B167" s="5">
        <v>0.48249999999999998</v>
      </c>
      <c r="C167" s="5">
        <v>0.48270833333333335</v>
      </c>
      <c r="D167" s="7">
        <f>ORIG[[#This Row],[Exit Time]]-ORIG[[#This Row],[Entry Time]]</f>
        <v>2.083333333333659E-4</v>
      </c>
      <c r="E167" s="9">
        <f>ORIG[[#This Row],[Time Elapsed]]*24*60*60</f>
        <v>18.000000000002814</v>
      </c>
      <c r="F167" s="4">
        <f t="shared" si="18"/>
        <v>0.99999999999984368</v>
      </c>
      <c r="G167" s="3" t="s">
        <v>167</v>
      </c>
      <c r="H167" s="3" t="s">
        <v>19</v>
      </c>
      <c r="I167" s="3">
        <f t="shared" si="19"/>
        <v>18</v>
      </c>
      <c r="J167" s="3" t="s">
        <v>15</v>
      </c>
      <c r="K167" s="3" t="s">
        <v>16</v>
      </c>
      <c r="L167" s="3" t="s">
        <v>16</v>
      </c>
      <c r="M167" s="3" t="s">
        <v>15</v>
      </c>
      <c r="N167" s="3" t="s">
        <v>16</v>
      </c>
      <c r="O167" s="3" t="s">
        <v>17</v>
      </c>
      <c r="Q167" s="3" t="s">
        <v>202</v>
      </c>
      <c r="R167" s="3" t="str">
        <f>IF(ORIG[[#This Row],[using phone?]]="Y","N","Y")</f>
        <v>N</v>
      </c>
      <c r="S167" s="3" t="str">
        <f t="shared" si="20"/>
        <v>N</v>
      </c>
      <c r="T167" s="3" t="str">
        <f t="shared" si="20"/>
        <v>N</v>
      </c>
      <c r="W167" t="s">
        <v>183</v>
      </c>
      <c r="X167" s="1">
        <f>AVERAGE(F168:F177)</f>
        <v>1.2159520458901543</v>
      </c>
      <c r="AB167" s="1"/>
    </row>
    <row r="168" spans="1:28" hidden="1">
      <c r="A168" s="3">
        <v>168</v>
      </c>
      <c r="B168" s="5">
        <v>0.48249999999999998</v>
      </c>
      <c r="C168" s="5">
        <v>0.48275462962962962</v>
      </c>
      <c r="D168" s="7">
        <f>ORIG[[#This Row],[Exit Time]]-ORIG[[#This Row],[Entry Time]]</f>
        <v>2.5462962962963243E-4</v>
      </c>
      <c r="E168" s="9">
        <f>ORIG[[#This Row],[Time Elapsed]]*24*60*60</f>
        <v>22.000000000000242</v>
      </c>
      <c r="F168" s="4">
        <f t="shared" si="18"/>
        <v>0.81818181818180924</v>
      </c>
      <c r="G168" s="3" t="s">
        <v>171</v>
      </c>
      <c r="H168" s="3" t="s">
        <v>19</v>
      </c>
      <c r="I168" s="3">
        <f t="shared" si="19"/>
        <v>18</v>
      </c>
      <c r="J168" s="3" t="s">
        <v>16</v>
      </c>
      <c r="K168" s="3" t="s">
        <v>15</v>
      </c>
      <c r="L168" s="3" t="s">
        <v>15</v>
      </c>
      <c r="M168" s="3" t="s">
        <v>15</v>
      </c>
      <c r="N168" s="3" t="s">
        <v>15</v>
      </c>
      <c r="O168" s="3" t="s">
        <v>17</v>
      </c>
      <c r="P168" s="3" t="s">
        <v>16</v>
      </c>
      <c r="R168" s="3" t="str">
        <f>IF(ORIG[[#This Row],[using phone?]]="Y","N","Y")</f>
        <v>Y</v>
      </c>
      <c r="S168" s="3" t="str">
        <f t="shared" si="20"/>
        <v>N</v>
      </c>
      <c r="T168" s="3" t="str">
        <f t="shared" si="20"/>
        <v>N</v>
      </c>
      <c r="AA168" t="s">
        <v>183</v>
      </c>
      <c r="AB168" s="1">
        <f>AVERAGE(F173:F182)</f>
        <v>1.2645393936416207</v>
      </c>
    </row>
    <row r="169" spans="1:28">
      <c r="A169" s="3">
        <v>169</v>
      </c>
      <c r="B169" s="5">
        <v>0.48251157407407402</v>
      </c>
      <c r="C169" s="5">
        <v>0.48270833333333335</v>
      </c>
      <c r="D169" s="7">
        <f>ORIG[[#This Row],[Exit Time]]-ORIG[[#This Row],[Entry Time]]</f>
        <v>1.9675925925932702E-4</v>
      </c>
      <c r="E169" s="9">
        <f>ORIG[[#This Row],[Time Elapsed]]*24*60*60</f>
        <v>17.000000000005855</v>
      </c>
      <c r="F169" s="4">
        <f t="shared" si="18"/>
        <v>1.4117647058818668</v>
      </c>
      <c r="G169" s="3" t="s">
        <v>170</v>
      </c>
      <c r="H169" s="3" t="s">
        <v>14</v>
      </c>
      <c r="I169" s="3">
        <f t="shared" si="19"/>
        <v>24</v>
      </c>
      <c r="J169" s="3" t="s">
        <v>15</v>
      </c>
      <c r="K169" s="3" t="s">
        <v>15</v>
      </c>
      <c r="L169" s="3" t="s">
        <v>15</v>
      </c>
      <c r="M169" s="3" t="s">
        <v>15</v>
      </c>
      <c r="N169" s="3" t="s">
        <v>15</v>
      </c>
      <c r="O169" s="3" t="s">
        <v>51</v>
      </c>
      <c r="S169" s="3" t="str">
        <f>IF(ORIG[[#This Row],[Phone Follower]]="Y","Y","N")</f>
        <v>N</v>
      </c>
    </row>
    <row r="170" spans="1:28" hidden="1">
      <c r="A170" s="3">
        <v>170</v>
      </c>
      <c r="B170" s="5">
        <v>0.48258101851851848</v>
      </c>
      <c r="C170" s="5">
        <v>0.48275462962962962</v>
      </c>
      <c r="D170" s="7">
        <f>ORIG[[#This Row],[Exit Time]]-ORIG[[#This Row],[Entry Time]]</f>
        <v>1.7361111111113825E-4</v>
      </c>
      <c r="E170" s="9">
        <f>ORIG[[#This Row],[Time Elapsed]]*24*60*60</f>
        <v>15.000000000002345</v>
      </c>
      <c r="F170" s="4">
        <f t="shared" si="18"/>
        <v>1.1999999999998123</v>
      </c>
      <c r="G170" s="3" t="s">
        <v>172</v>
      </c>
      <c r="H170" s="3" t="s">
        <v>19</v>
      </c>
      <c r="I170" s="3">
        <f t="shared" si="19"/>
        <v>18</v>
      </c>
      <c r="J170" s="3" t="s">
        <v>16</v>
      </c>
      <c r="K170" s="3" t="s">
        <v>15</v>
      </c>
      <c r="L170" s="3" t="s">
        <v>15</v>
      </c>
      <c r="M170" s="3" t="s">
        <v>15</v>
      </c>
      <c r="N170" s="3" t="s">
        <v>15</v>
      </c>
      <c r="O170" s="3" t="s">
        <v>51</v>
      </c>
      <c r="P170" s="3" t="s">
        <v>16</v>
      </c>
      <c r="R170" s="3" t="str">
        <f>IF(ORIG[[#This Row],[using phone?]]="Y","N","Y")</f>
        <v>Y</v>
      </c>
      <c r="S170" s="3" t="str">
        <f>IF(R167="Y","Y","N")</f>
        <v>N</v>
      </c>
      <c r="T170" s="3" t="str">
        <f>IF(S167="Y","Y","N")</f>
        <v>N</v>
      </c>
      <c r="AA170" t="s">
        <v>183</v>
      </c>
      <c r="AB170" s="1">
        <f>AVERAGE(F175:F184)</f>
        <v>1.1782173156342781</v>
      </c>
    </row>
    <row r="171" spans="1:28">
      <c r="A171" s="3">
        <v>171</v>
      </c>
      <c r="B171" s="5">
        <v>0.48266203703703708</v>
      </c>
      <c r="C171" s="5">
        <v>0.48289351851851853</v>
      </c>
      <c r="D171" s="7">
        <f>ORIG[[#This Row],[Exit Time]]-ORIG[[#This Row],[Entry Time]]</f>
        <v>2.3148148148144365E-4</v>
      </c>
      <c r="E171" s="9">
        <f>ORIG[[#This Row],[Time Elapsed]]*24*60*60</f>
        <v>19.999999999996732</v>
      </c>
      <c r="F171" s="4">
        <f t="shared" si="18"/>
        <v>1.200000000000196</v>
      </c>
      <c r="G171" s="3" t="s">
        <v>168</v>
      </c>
      <c r="H171" s="3" t="s">
        <v>14</v>
      </c>
      <c r="I171" s="3">
        <f t="shared" si="19"/>
        <v>24</v>
      </c>
      <c r="J171" s="3" t="s">
        <v>15</v>
      </c>
      <c r="K171" s="3" t="s">
        <v>15</v>
      </c>
      <c r="L171" s="3" t="s">
        <v>15</v>
      </c>
      <c r="M171" s="3" t="s">
        <v>15</v>
      </c>
      <c r="N171" s="3" t="s">
        <v>15</v>
      </c>
      <c r="O171" s="3" t="s">
        <v>17</v>
      </c>
      <c r="S171" s="3" t="str">
        <f>IF(ORIG[[#This Row],[Phone Follower]]="Y","Y","N")</f>
        <v>N</v>
      </c>
    </row>
    <row r="172" spans="1:28">
      <c r="A172" s="3">
        <v>172</v>
      </c>
      <c r="B172" s="5">
        <v>0.48268518518518522</v>
      </c>
      <c r="C172" s="5">
        <v>0.48290509259259262</v>
      </c>
      <c r="D172" s="7">
        <f>ORIG[[#This Row],[Exit Time]]-ORIG[[#This Row],[Entry Time]]</f>
        <v>2.1990740740740478E-4</v>
      </c>
      <c r="E172" s="9">
        <f>ORIG[[#This Row],[Time Elapsed]]*24*60*60</f>
        <v>18.999999999999773</v>
      </c>
      <c r="F172" s="4">
        <f t="shared" si="18"/>
        <v>1.2631578947368571</v>
      </c>
      <c r="G172" s="3" t="s">
        <v>169</v>
      </c>
      <c r="H172" s="3" t="s">
        <v>14</v>
      </c>
      <c r="I172" s="3">
        <f t="shared" si="19"/>
        <v>24</v>
      </c>
      <c r="J172" s="3" t="s">
        <v>15</v>
      </c>
      <c r="K172" s="3" t="s">
        <v>15</v>
      </c>
      <c r="L172" s="3" t="s">
        <v>15</v>
      </c>
      <c r="M172" s="3" t="s">
        <v>15</v>
      </c>
      <c r="N172" s="3" t="s">
        <v>15</v>
      </c>
      <c r="O172" s="3" t="s">
        <v>17</v>
      </c>
      <c r="S172" s="3" t="str">
        <f>IF(ORIG[[#This Row],[Phone Follower]]="Y","Y","N")</f>
        <v>N</v>
      </c>
    </row>
    <row r="173" spans="1:28" hidden="1">
      <c r="A173" s="3">
        <v>173</v>
      </c>
      <c r="B173" s="5">
        <v>0.48268518518518522</v>
      </c>
      <c r="C173" s="5">
        <v>0.48280092592592588</v>
      </c>
      <c r="D173" s="7">
        <f>ORIG[[#This Row],[Exit Time]]-ORIG[[#This Row],[Entry Time]]</f>
        <v>1.1574074074066631E-4</v>
      </c>
      <c r="E173" s="9">
        <f>ORIG[[#This Row],[Time Elapsed]]*24*60*60</f>
        <v>9.9999999999935696</v>
      </c>
      <c r="F173" s="4">
        <f t="shared" si="18"/>
        <v>1.8000000000011576</v>
      </c>
      <c r="G173" s="3" t="s">
        <v>173</v>
      </c>
      <c r="H173" s="3" t="s">
        <v>19</v>
      </c>
      <c r="I173" s="3">
        <f t="shared" si="19"/>
        <v>18</v>
      </c>
      <c r="J173" s="3" t="s">
        <v>15</v>
      </c>
      <c r="K173" s="3" t="s">
        <v>15</v>
      </c>
      <c r="L173" s="3" t="s">
        <v>15</v>
      </c>
      <c r="M173" s="3" t="s">
        <v>15</v>
      </c>
      <c r="N173" s="3" t="s">
        <v>15</v>
      </c>
      <c r="O173" s="3" t="s">
        <v>51</v>
      </c>
      <c r="R173" s="3" t="str">
        <f>IF(ORIG[[#This Row],[using phone?]]="Y","N","Y")</f>
        <v>Y</v>
      </c>
      <c r="S173" s="3" t="str">
        <f>IF(R170="Y","Y","N")</f>
        <v>Y</v>
      </c>
      <c r="T173" s="3" t="str">
        <f>IF(S170="Y","Y","N")</f>
        <v>N</v>
      </c>
    </row>
    <row r="174" spans="1:28">
      <c r="A174" s="3">
        <v>174</v>
      </c>
      <c r="B174" s="5">
        <v>0.48278935185185184</v>
      </c>
      <c r="C174" s="5">
        <v>0.48299768518518515</v>
      </c>
      <c r="D174" s="7">
        <f>ORIG[[#This Row],[Exit Time]]-ORIG[[#This Row],[Entry Time]]</f>
        <v>2.0833333333331039E-4</v>
      </c>
      <c r="E174" s="9">
        <f>ORIG[[#This Row],[Time Elapsed]]*24*60*60</f>
        <v>17.999999999998018</v>
      </c>
      <c r="F174" s="4">
        <f t="shared" si="18"/>
        <v>1.3333333333334803</v>
      </c>
      <c r="G174" s="3" t="s">
        <v>174</v>
      </c>
      <c r="H174" s="3" t="s">
        <v>14</v>
      </c>
      <c r="I174" s="3">
        <f t="shared" si="19"/>
        <v>24</v>
      </c>
      <c r="J174" s="3" t="s">
        <v>15</v>
      </c>
      <c r="K174" s="3" t="s">
        <v>15</v>
      </c>
      <c r="L174" s="3" t="s">
        <v>15</v>
      </c>
      <c r="M174" s="3" t="s">
        <v>15</v>
      </c>
      <c r="N174" s="3" t="s">
        <v>15</v>
      </c>
      <c r="O174" s="3" t="s">
        <v>51</v>
      </c>
      <c r="S174" s="3" t="str">
        <f>IF(ORIG[[#This Row],[Phone Follower]]="Y","Y","N")</f>
        <v>N</v>
      </c>
    </row>
    <row r="175" spans="1:28" hidden="1">
      <c r="A175" s="3">
        <v>175</v>
      </c>
      <c r="B175" s="5">
        <v>0.48280092592592588</v>
      </c>
      <c r="C175" s="5">
        <v>0.48296296296296298</v>
      </c>
      <c r="D175" s="7">
        <f>ORIG[[#This Row],[Exit Time]]-ORIG[[#This Row],[Entry Time]]</f>
        <v>1.6203703703709937E-4</v>
      </c>
      <c r="E175" s="9">
        <f>ORIG[[#This Row],[Time Elapsed]]*24*60*60</f>
        <v>14.000000000005386</v>
      </c>
      <c r="F175" s="4">
        <f t="shared" si="18"/>
        <v>1.2857142857137911</v>
      </c>
      <c r="G175" s="3" t="s">
        <v>176</v>
      </c>
      <c r="H175" s="3" t="s">
        <v>19</v>
      </c>
      <c r="I175" s="3">
        <f t="shared" si="19"/>
        <v>18</v>
      </c>
      <c r="J175" s="3" t="s">
        <v>15</v>
      </c>
      <c r="K175" s="3" t="s">
        <v>15</v>
      </c>
      <c r="L175" s="3" t="s">
        <v>15</v>
      </c>
      <c r="M175" s="3" t="s">
        <v>15</v>
      </c>
      <c r="N175" s="3" t="s">
        <v>15</v>
      </c>
      <c r="O175" s="3" t="s">
        <v>17</v>
      </c>
      <c r="R175" s="3" t="str">
        <f>IF(ORIG[[#This Row],[using phone?]]="Y","N","Y")</f>
        <v>Y</v>
      </c>
      <c r="S175" s="3" t="str">
        <f t="shared" ref="S175:T177" si="21">IF(R172="Y","Y","N")</f>
        <v>N</v>
      </c>
      <c r="T175" s="3" t="str">
        <f t="shared" si="21"/>
        <v>N</v>
      </c>
    </row>
    <row r="176" spans="1:28" hidden="1">
      <c r="A176" s="3">
        <v>176</v>
      </c>
      <c r="B176" s="5">
        <v>0.48284722222222221</v>
      </c>
      <c r="C176" s="5">
        <v>0.4830787037037037</v>
      </c>
      <c r="D176" s="7">
        <f>ORIG[[#This Row],[Exit Time]]-ORIG[[#This Row],[Entry Time]]</f>
        <v>2.3148148148149916E-4</v>
      </c>
      <c r="E176" s="9">
        <f>ORIG[[#This Row],[Time Elapsed]]*24*60*60</f>
        <v>20.000000000001528</v>
      </c>
      <c r="F176" s="4">
        <f t="shared" si="18"/>
        <v>0.8999999999999313</v>
      </c>
      <c r="G176" s="3" t="s">
        <v>179</v>
      </c>
      <c r="H176" s="3" t="s">
        <v>19</v>
      </c>
      <c r="I176" s="3">
        <f t="shared" si="19"/>
        <v>18</v>
      </c>
      <c r="J176" s="3" t="s">
        <v>16</v>
      </c>
      <c r="K176" s="3" t="s">
        <v>15</v>
      </c>
      <c r="L176" s="3" t="s">
        <v>15</v>
      </c>
      <c r="M176" s="3" t="s">
        <v>15</v>
      </c>
      <c r="N176" s="3" t="s">
        <v>16</v>
      </c>
      <c r="O176" s="3" t="s">
        <v>17</v>
      </c>
      <c r="R176" s="3" t="str">
        <f>IF(ORIG[[#This Row],[using phone?]]="Y","N","Y")</f>
        <v>Y</v>
      </c>
      <c r="S176" s="3" t="str">
        <f t="shared" si="21"/>
        <v>Y</v>
      </c>
      <c r="T176" s="3" t="str">
        <f t="shared" si="21"/>
        <v>Y</v>
      </c>
      <c r="AA176" t="s">
        <v>183</v>
      </c>
      <c r="AB176" s="1">
        <f>AVERAGE(F181:F190)</f>
        <v>1.4117647058826632</v>
      </c>
    </row>
    <row r="177" spans="1:28" hidden="1">
      <c r="A177" s="3">
        <v>177</v>
      </c>
      <c r="B177" s="5">
        <v>0.4828587962962963</v>
      </c>
      <c r="C177" s="5">
        <v>0.4830787037037037</v>
      </c>
      <c r="D177" s="7">
        <f>ORIG[[#This Row],[Exit Time]]-ORIG[[#This Row],[Entry Time]]</f>
        <v>2.1990740740740478E-4</v>
      </c>
      <c r="E177" s="9">
        <f>ORIG[[#This Row],[Time Elapsed]]*24*60*60</f>
        <v>18.999999999999773</v>
      </c>
      <c r="F177" s="4">
        <f t="shared" si="18"/>
        <v>0.94736842105264296</v>
      </c>
      <c r="G177" s="3" t="s">
        <v>180</v>
      </c>
      <c r="H177" s="3" t="s">
        <v>19</v>
      </c>
      <c r="I177" s="3">
        <f t="shared" si="19"/>
        <v>18</v>
      </c>
      <c r="J177" s="3" t="s">
        <v>16</v>
      </c>
      <c r="K177" s="3" t="s">
        <v>15</v>
      </c>
      <c r="L177" s="3" t="s">
        <v>15</v>
      </c>
      <c r="M177" s="3" t="s">
        <v>15</v>
      </c>
      <c r="N177" s="3" t="s">
        <v>15</v>
      </c>
      <c r="O177" s="3" t="s">
        <v>51</v>
      </c>
      <c r="R177" s="3" t="str">
        <f>IF(ORIG[[#This Row],[using phone?]]="Y","N","Y")</f>
        <v>Y</v>
      </c>
      <c r="S177" s="3" t="str">
        <f t="shared" si="21"/>
        <v>N</v>
      </c>
      <c r="T177" s="3" t="str">
        <f t="shared" si="21"/>
        <v>N</v>
      </c>
      <c r="AA177" t="s">
        <v>183</v>
      </c>
      <c r="AB177" s="1" t="e">
        <f>AVERAGE(F182:F191)</f>
        <v>#DIV/0!</v>
      </c>
    </row>
    <row r="178" spans="1:28">
      <c r="A178" s="3">
        <v>178</v>
      </c>
      <c r="B178" s="5">
        <v>0.48287037037037034</v>
      </c>
      <c r="C178" s="5">
        <v>0.48312500000000003</v>
      </c>
      <c r="D178" s="7">
        <f>ORIG[[#This Row],[Exit Time]]-ORIG[[#This Row],[Entry Time]]</f>
        <v>2.5462962962968794E-4</v>
      </c>
      <c r="E178" s="9">
        <f>ORIG[[#This Row],[Time Elapsed]]*24*60*60</f>
        <v>22.000000000005038</v>
      </c>
      <c r="F178" s="4">
        <f t="shared" si="18"/>
        <v>1.090909090908841</v>
      </c>
      <c r="G178" s="3" t="s">
        <v>175</v>
      </c>
      <c r="H178" s="3" t="s">
        <v>14</v>
      </c>
      <c r="I178" s="3">
        <f t="shared" si="19"/>
        <v>24</v>
      </c>
      <c r="J178" s="3" t="s">
        <v>15</v>
      </c>
      <c r="K178" s="3" t="s">
        <v>15</v>
      </c>
      <c r="L178" s="3" t="s">
        <v>15</v>
      </c>
      <c r="M178" s="3" t="s">
        <v>15</v>
      </c>
      <c r="N178" s="3" t="s">
        <v>15</v>
      </c>
      <c r="O178" s="3" t="s">
        <v>17</v>
      </c>
      <c r="S178" s="3" t="str">
        <f>IF(ORIG[[#This Row],[Phone Follower]]="Y","Y","N")</f>
        <v>N</v>
      </c>
    </row>
    <row r="179" spans="1:28" hidden="1">
      <c r="A179" s="3">
        <v>179</v>
      </c>
      <c r="B179" s="5">
        <v>0.48293981481481479</v>
      </c>
      <c r="C179" s="5">
        <v>0.48311342592592593</v>
      </c>
      <c r="D179" s="7">
        <f>ORIG[[#This Row],[Exit Time]]-ORIG[[#This Row],[Entry Time]]</f>
        <v>1.7361111111113825E-4</v>
      </c>
      <c r="E179" s="9">
        <f>ORIG[[#This Row],[Time Elapsed]]*24*60*60</f>
        <v>15.000000000002345</v>
      </c>
      <c r="F179" s="4">
        <f t="shared" si="18"/>
        <v>1.1999999999998123</v>
      </c>
      <c r="G179" s="3" t="s">
        <v>181</v>
      </c>
      <c r="H179" s="3" t="s">
        <v>19</v>
      </c>
      <c r="I179" s="3">
        <f t="shared" si="19"/>
        <v>18</v>
      </c>
      <c r="J179" s="3" t="s">
        <v>15</v>
      </c>
      <c r="K179" s="3" t="s">
        <v>15</v>
      </c>
      <c r="L179" s="3" t="s">
        <v>15</v>
      </c>
      <c r="M179" s="3" t="s">
        <v>15</v>
      </c>
      <c r="N179" s="3" t="s">
        <v>16</v>
      </c>
      <c r="O179" s="3" t="s">
        <v>51</v>
      </c>
      <c r="R179" s="3" t="str">
        <f>IF(ORIG[[#This Row],[using phone?]]="Y","N","Y")</f>
        <v>Y</v>
      </c>
      <c r="S179" s="3" t="str">
        <f>IF(R176="Y","Y","N")</f>
        <v>Y</v>
      </c>
      <c r="T179" s="3" t="str">
        <f>IF(S176="Y","Y","N")</f>
        <v>Y</v>
      </c>
    </row>
    <row r="180" spans="1:28">
      <c r="A180" s="3">
        <v>180</v>
      </c>
      <c r="B180" s="5">
        <v>0.48293981481481479</v>
      </c>
      <c r="C180" s="5">
        <v>0.48313657407407407</v>
      </c>
      <c r="D180" s="7">
        <f>ORIG[[#This Row],[Exit Time]]-ORIG[[#This Row],[Entry Time]]</f>
        <v>1.9675925925927151E-4</v>
      </c>
      <c r="E180" s="9">
        <f>ORIG[[#This Row],[Time Elapsed]]*24*60*60</f>
        <v>17.000000000001059</v>
      </c>
      <c r="F180" s="4">
        <f t="shared" si="18"/>
        <v>1.4117647058822651</v>
      </c>
      <c r="G180" s="3" t="s">
        <v>177</v>
      </c>
      <c r="H180" s="3" t="s">
        <v>14</v>
      </c>
      <c r="I180" s="3">
        <f t="shared" si="19"/>
        <v>24</v>
      </c>
      <c r="J180" s="3" t="s">
        <v>15</v>
      </c>
      <c r="K180" s="3" t="s">
        <v>15</v>
      </c>
      <c r="L180" s="3" t="s">
        <v>15</v>
      </c>
      <c r="M180" s="3" t="s">
        <v>15</v>
      </c>
      <c r="N180" s="3" t="s">
        <v>15</v>
      </c>
      <c r="O180" s="3" t="s">
        <v>17</v>
      </c>
      <c r="S180" s="3" t="str">
        <f>IF(ORIG[[#This Row],[Phone Follower]]="Y","Y","N")</f>
        <v>N</v>
      </c>
    </row>
    <row r="181" spans="1:28">
      <c r="A181" s="3">
        <v>181</v>
      </c>
      <c r="B181" s="5">
        <v>0.48295138888888894</v>
      </c>
      <c r="C181" s="5">
        <v>0.48314814814814816</v>
      </c>
      <c r="D181" s="7">
        <f>ORIG[[#This Row],[Exit Time]]-ORIG[[#This Row],[Entry Time]]</f>
        <v>1.96759259259216E-4</v>
      </c>
      <c r="E181" s="9">
        <f>ORIG[[#This Row],[Time Elapsed]]*24*60*60</f>
        <v>16.999999999996263</v>
      </c>
      <c r="F181" s="4">
        <f t="shared" si="18"/>
        <v>1.4117647058826632</v>
      </c>
      <c r="G181" s="3" t="s">
        <v>178</v>
      </c>
      <c r="H181" s="3" t="s">
        <v>14</v>
      </c>
      <c r="I181" s="3">
        <f t="shared" si="19"/>
        <v>24</v>
      </c>
      <c r="J181" s="3" t="s">
        <v>15</v>
      </c>
      <c r="K181" s="3" t="s">
        <v>15</v>
      </c>
      <c r="L181" s="3" t="s">
        <v>15</v>
      </c>
      <c r="M181" s="3" t="s">
        <v>15</v>
      </c>
      <c r="N181" s="3" t="s">
        <v>15</v>
      </c>
      <c r="O181" s="3" t="s">
        <v>17</v>
      </c>
      <c r="S181" s="3" t="str">
        <f>IF(ORIG[[#This Row],[Phone Follower]]="Y","Y","N")</f>
        <v>N</v>
      </c>
    </row>
    <row r="182" spans="1:28">
      <c r="A182" s="3" t="s">
        <v>52</v>
      </c>
      <c r="B182" s="5">
        <f>B181-B3</f>
        <v>7.0833333333334414E-3</v>
      </c>
      <c r="C182" s="5">
        <f>C181-C3</f>
        <v>7.1759259259259189E-3</v>
      </c>
      <c r="D182" s="3"/>
      <c r="E182" s="8">
        <f>SUBTOTAL(101,ORIG[Seconds Elapsed])</f>
        <v>23.763157894736736</v>
      </c>
      <c r="F182" s="4" t="s">
        <v>255</v>
      </c>
      <c r="J182" s="3">
        <f>COUNTIF(ORIG[in group?], "Y")</f>
        <v>51</v>
      </c>
      <c r="K182" s="3">
        <f>COUNTIF(ORIG[using phone?], "Y")</f>
        <v>31</v>
      </c>
      <c r="L182" s="3">
        <f>COUNTIF(ORIG[texting], "Y")</f>
        <v>27</v>
      </c>
      <c r="M182" s="3">
        <f>COUNTIF(ORIG[calling], "Y")</f>
        <v>4</v>
      </c>
      <c r="N182" s="3">
        <f>COUNTIF(ORIG[holding phone], "Y")</f>
        <v>58</v>
      </c>
      <c r="O182" s="3">
        <f>SUBTOTAL(103,ORIG[Gender])</f>
        <v>114</v>
      </c>
      <c r="P182" s="3">
        <f>SUBTOTAL(103,ORIG[Overtaken])</f>
        <v>21</v>
      </c>
      <c r="Q182" s="3">
        <f>SUBTOTAL(103,ORIG[Overtakes])</f>
        <v>13</v>
      </c>
      <c r="W182" t="s">
        <v>184</v>
      </c>
      <c r="X182">
        <f>AVERAGE(X1:X181)</f>
        <v>1.2406394704887174</v>
      </c>
      <c r="Y182" t="s">
        <v>184</v>
      </c>
      <c r="Z182">
        <f>AVERAGE(Z1:Z181)</f>
        <v>1.1306638366979103</v>
      </c>
      <c r="AA182" t="s">
        <v>188</v>
      </c>
      <c r="AB182" t="e">
        <f>AVERAGE(AB2:AB177)</f>
        <v>#DIV/0!</v>
      </c>
    </row>
    <row r="183" spans="1:28">
      <c r="B183" s="5"/>
      <c r="W183" t="s">
        <v>196</v>
      </c>
      <c r="X183">
        <f>_xlfn.STDEV.P(X2:X167)</f>
        <v>0.10047906753260936</v>
      </c>
      <c r="Z183">
        <f>_xlfn.STDEV.P(Z2:Z167)</f>
        <v>0.18674768429226615</v>
      </c>
      <c r="AB183">
        <f>_xlfn.STDEV.P(AB2:AB167)</f>
        <v>0.10508151671940996</v>
      </c>
    </row>
    <row r="185" spans="1:28">
      <c r="N185" s="3">
        <f>58-31</f>
        <v>27</v>
      </c>
    </row>
    <row r="186" spans="1:28">
      <c r="W186" t="s">
        <v>190</v>
      </c>
      <c r="X186">
        <f>ORIG[[#Totals],[using phone?]]-ORIG[[#Totals],[Gender]]</f>
        <v>-83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CDA7-5BBE-3446-ADCF-60621D7E84E7}">
  <sheetPr filterMode="1"/>
  <dimension ref="A1:AH102"/>
  <sheetViews>
    <sheetView tabSelected="1" topLeftCell="A24" workbookViewId="0">
      <selection activeCell="AH18" sqref="AH18"/>
    </sheetView>
  </sheetViews>
  <sheetFormatPr baseColWidth="10" defaultRowHeight="16"/>
  <cols>
    <col min="22" max="22" width="10.5" customWidth="1"/>
  </cols>
  <sheetData>
    <row r="1" spans="1:34">
      <c r="A1" s="3" t="s">
        <v>0</v>
      </c>
      <c r="B1" s="3" t="s">
        <v>1</v>
      </c>
      <c r="C1" s="3" t="s">
        <v>2</v>
      </c>
      <c r="D1" s="4" t="s">
        <v>182</v>
      </c>
      <c r="E1" s="4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201</v>
      </c>
      <c r="Q1" s="3" t="s">
        <v>200</v>
      </c>
      <c r="R1" s="3" t="s">
        <v>251</v>
      </c>
      <c r="S1" s="3" t="s">
        <v>252</v>
      </c>
      <c r="T1" s="3" t="s">
        <v>253</v>
      </c>
      <c r="U1" s="3" t="s">
        <v>254</v>
      </c>
      <c r="V1" s="3" t="s">
        <v>260</v>
      </c>
      <c r="W1" s="3" t="s">
        <v>252</v>
      </c>
      <c r="X1" s="3" t="s">
        <v>253</v>
      </c>
      <c r="Y1" s="3" t="s">
        <v>254</v>
      </c>
      <c r="Z1" s="3" t="s">
        <v>250</v>
      </c>
      <c r="AA1" s="3" t="s">
        <v>252</v>
      </c>
      <c r="AB1" s="3" t="s">
        <v>253</v>
      </c>
      <c r="AC1" s="3" t="s">
        <v>254</v>
      </c>
      <c r="AG1">
        <v>24</v>
      </c>
      <c r="AH1">
        <v>18</v>
      </c>
    </row>
    <row r="2" spans="1:34" hidden="1">
      <c r="A2" s="22">
        <v>2</v>
      </c>
      <c r="B2" s="17">
        <v>0.4758680555555555</v>
      </c>
      <c r="C2" s="17">
        <v>0.47597222222222224</v>
      </c>
      <c r="D2" s="18">
        <v>1.0416666666673846E-4</v>
      </c>
      <c r="E2" s="19">
        <v>9.000000000006203</v>
      </c>
      <c r="F2" s="20">
        <v>1.9999999999986215</v>
      </c>
      <c r="G2" s="21" t="s">
        <v>50</v>
      </c>
      <c r="H2" s="21" t="s">
        <v>19</v>
      </c>
      <c r="I2" s="21">
        <v>18</v>
      </c>
      <c r="J2" s="21" t="s">
        <v>15</v>
      </c>
      <c r="K2" s="21" t="s">
        <v>15</v>
      </c>
      <c r="L2" s="21" t="s">
        <v>15</v>
      </c>
      <c r="M2" s="21" t="s">
        <v>15</v>
      </c>
      <c r="N2" s="21" t="s">
        <v>15</v>
      </c>
      <c r="O2" s="21" t="s">
        <v>17</v>
      </c>
      <c r="P2" s="21"/>
      <c r="Q2" s="21"/>
      <c r="R2" s="21" t="s">
        <v>15</v>
      </c>
      <c r="S2" s="21" t="s">
        <v>15</v>
      </c>
      <c r="T2" s="21" t="s">
        <v>15</v>
      </c>
      <c r="U2" s="21" t="str">
        <f>IF(R2="N",IF(S2="N",IF(T2="N","N","Y"),"Y"),"Y")</f>
        <v>N</v>
      </c>
      <c r="V2" s="21" t="s">
        <v>15</v>
      </c>
      <c r="W2" s="21" t="s">
        <v>15</v>
      </c>
      <c r="X2" s="21" t="s">
        <v>15</v>
      </c>
      <c r="Y2" s="21" t="str">
        <f>IF(V2="N",IF(W2="N",IF(X2="N","N","Y"),"Y"),"Y")</f>
        <v>N</v>
      </c>
      <c r="Z2" s="21" t="s">
        <v>15</v>
      </c>
      <c r="AA2" s="21" t="s">
        <v>15</v>
      </c>
      <c r="AB2" s="21" t="s">
        <v>15</v>
      </c>
      <c r="AC2" s="21" t="str">
        <f>IF(Z2="N",IF(AA2="N",IF(AB2="N","N","Y"),"Y"),"Y")</f>
        <v>N</v>
      </c>
    </row>
    <row r="3" spans="1:34" hidden="1">
      <c r="A3" s="23">
        <v>5</v>
      </c>
      <c r="B3" s="12">
        <v>0.47615740740740736</v>
      </c>
      <c r="C3" s="12">
        <v>0.47635416666666663</v>
      </c>
      <c r="D3" s="13">
        <v>1.9675925925927151E-4</v>
      </c>
      <c r="E3" s="14">
        <v>17.000000000001059</v>
      </c>
      <c r="F3" s="15">
        <v>1.0588235294116988</v>
      </c>
      <c r="G3" s="16" t="s">
        <v>233</v>
      </c>
      <c r="H3" s="16" t="s">
        <v>19</v>
      </c>
      <c r="I3" s="16">
        <v>18</v>
      </c>
      <c r="J3" s="16" t="s">
        <v>15</v>
      </c>
      <c r="K3" s="16" t="s">
        <v>16</v>
      </c>
      <c r="L3" s="16" t="s">
        <v>15</v>
      </c>
      <c r="M3" s="16" t="s">
        <v>16</v>
      </c>
      <c r="N3" s="16" t="s">
        <v>16</v>
      </c>
      <c r="O3" s="16" t="s">
        <v>17</v>
      </c>
      <c r="P3" s="16"/>
      <c r="Q3" s="16"/>
      <c r="R3" s="16" t="str">
        <f>IF(L2="Y","Y","N")</f>
        <v>N</v>
      </c>
      <c r="S3" s="16" t="s">
        <v>15</v>
      </c>
      <c r="T3" s="16" t="s">
        <v>15</v>
      </c>
      <c r="U3" s="21" t="str">
        <f t="shared" ref="U3:U66" si="0">IF(R3="N",IF(S3="N",IF(T3="N","N","Y"),"Y"),"Y")</f>
        <v>N</v>
      </c>
      <c r="V3" s="16" t="str">
        <f>IF(M2="Y","Y","N")</f>
        <v>N</v>
      </c>
      <c r="W3" s="16" t="s">
        <v>15</v>
      </c>
      <c r="X3" s="16" t="s">
        <v>15</v>
      </c>
      <c r="Y3" s="21" t="str">
        <f t="shared" ref="Y3" si="1">IF(V3="N",IF(W3="N",IF(X3="N","N","Y"),"Y"),"Y")</f>
        <v>N</v>
      </c>
      <c r="Z3" s="16" t="str">
        <f>IF(J2="Y","Y","N")</f>
        <v>N</v>
      </c>
      <c r="AA3" s="16" t="s">
        <v>15</v>
      </c>
      <c r="AB3" s="16" t="s">
        <v>15</v>
      </c>
      <c r="AC3" s="21" t="str">
        <f t="shared" ref="AC3" si="2">IF(Z3="N",IF(AA3="N",IF(AB3="N","N","Y"),"Y"),"Y")</f>
        <v>N</v>
      </c>
    </row>
    <row r="4" spans="1:34" hidden="1">
      <c r="A4" s="22">
        <v>7</v>
      </c>
      <c r="B4" s="17">
        <v>0.47620370370370368</v>
      </c>
      <c r="C4" s="17">
        <v>0.47640046296296296</v>
      </c>
      <c r="D4" s="18">
        <v>1.9675925925927151E-4</v>
      </c>
      <c r="E4" s="19">
        <v>17.000000000001059</v>
      </c>
      <c r="F4" s="20">
        <v>1.0588235294116988</v>
      </c>
      <c r="G4" s="21" t="s">
        <v>237</v>
      </c>
      <c r="H4" s="21" t="s">
        <v>19</v>
      </c>
      <c r="I4" s="21">
        <v>18</v>
      </c>
      <c r="J4" s="21" t="s">
        <v>15</v>
      </c>
      <c r="K4" s="21" t="s">
        <v>16</v>
      </c>
      <c r="L4" s="21" t="s">
        <v>16</v>
      </c>
      <c r="M4" s="21" t="s">
        <v>15</v>
      </c>
      <c r="N4" s="21" t="s">
        <v>16</v>
      </c>
      <c r="O4" s="21" t="s">
        <v>20</v>
      </c>
      <c r="P4" s="21"/>
      <c r="Q4" s="21"/>
      <c r="R4" s="16" t="str">
        <f t="shared" ref="R4:R67" si="3">IF(L3="Y","Y","N")</f>
        <v>N</v>
      </c>
      <c r="S4" s="21" t="str">
        <f>IF(R3="Y","Y","N")</f>
        <v>N</v>
      </c>
      <c r="T4" s="21" t="s">
        <v>15</v>
      </c>
      <c r="U4" s="21" t="str">
        <f t="shared" si="0"/>
        <v>N</v>
      </c>
      <c r="V4" s="16" t="str">
        <f t="shared" ref="V4:V67" si="4">IF(M3="Y","Y","N")</f>
        <v>Y</v>
      </c>
      <c r="W4" s="16" t="s">
        <v>15</v>
      </c>
      <c r="X4" s="16" t="s">
        <v>15</v>
      </c>
      <c r="Y4" s="21" t="str">
        <f t="shared" ref="Y4:Y67" si="5">IF(V4="N",IF(W4="N",IF(X4="N","N","Y"),"Y"),"Y")</f>
        <v>Y</v>
      </c>
      <c r="Z4" s="16" t="str">
        <f t="shared" ref="Z4:Z67" si="6">IF(J3="Y","Y","N")</f>
        <v>N</v>
      </c>
      <c r="AA4" s="16" t="s">
        <v>15</v>
      </c>
      <c r="AB4" s="16" t="s">
        <v>15</v>
      </c>
      <c r="AC4" s="21" t="str">
        <f t="shared" ref="AC4:AC67" si="7">IF(Z4="N",IF(AA4="N",IF(AB4="N","N","Y"),"Y"),"Y")</f>
        <v>N</v>
      </c>
    </row>
    <row r="5" spans="1:34" hidden="1">
      <c r="A5" s="23">
        <v>10</v>
      </c>
      <c r="B5" s="12">
        <v>0.47629629629629627</v>
      </c>
      <c r="C5" s="12">
        <v>0.47646990740740741</v>
      </c>
      <c r="D5" s="13">
        <v>1.7361111111113825E-4</v>
      </c>
      <c r="E5" s="14">
        <v>15.000000000002345</v>
      </c>
      <c r="F5" s="15">
        <v>1.1999999999998123</v>
      </c>
      <c r="G5" s="16" t="s">
        <v>238</v>
      </c>
      <c r="H5" s="16" t="s">
        <v>19</v>
      </c>
      <c r="I5" s="16">
        <v>18</v>
      </c>
      <c r="J5" s="16" t="s">
        <v>15</v>
      </c>
      <c r="K5" s="16" t="s">
        <v>15</v>
      </c>
      <c r="L5" s="16" t="s">
        <v>15</v>
      </c>
      <c r="M5" s="16" t="s">
        <v>15</v>
      </c>
      <c r="N5" s="16" t="s">
        <v>15</v>
      </c>
      <c r="O5" s="16" t="s">
        <v>17</v>
      </c>
      <c r="P5" s="16"/>
      <c r="Q5" s="16"/>
      <c r="R5" s="16" t="str">
        <f t="shared" si="3"/>
        <v>Y</v>
      </c>
      <c r="S5" s="21" t="str">
        <f t="shared" ref="S5:T67" si="8">IF(R4="Y","Y","N")</f>
        <v>N</v>
      </c>
      <c r="T5" s="21" t="str">
        <f>IF(S4="Y","Y","N")</f>
        <v>N</v>
      </c>
      <c r="U5" s="21" t="str">
        <f t="shared" si="0"/>
        <v>Y</v>
      </c>
      <c r="V5" s="16" t="str">
        <f t="shared" si="4"/>
        <v>N</v>
      </c>
      <c r="W5" s="16" t="s">
        <v>15</v>
      </c>
      <c r="X5" s="16" t="s">
        <v>15</v>
      </c>
      <c r="Y5" s="21" t="str">
        <f t="shared" si="5"/>
        <v>N</v>
      </c>
      <c r="Z5" s="16" t="str">
        <f t="shared" si="6"/>
        <v>N</v>
      </c>
      <c r="AA5" s="16" t="s">
        <v>15</v>
      </c>
      <c r="AB5" s="16" t="s">
        <v>15</v>
      </c>
      <c r="AC5" s="21" t="str">
        <f t="shared" si="7"/>
        <v>N</v>
      </c>
    </row>
    <row r="6" spans="1:34" hidden="1">
      <c r="A6" s="22">
        <v>16</v>
      </c>
      <c r="B6" s="17">
        <v>0.47653935185185187</v>
      </c>
      <c r="C6" s="17">
        <v>0.47670138888888891</v>
      </c>
      <c r="D6" s="18">
        <v>1.6203703703704386E-4</v>
      </c>
      <c r="E6" s="19">
        <v>14.00000000000059</v>
      </c>
      <c r="F6" s="20">
        <v>1.2857142857142316</v>
      </c>
      <c r="G6" s="21" t="s">
        <v>240</v>
      </c>
      <c r="H6" s="21" t="s">
        <v>19</v>
      </c>
      <c r="I6" s="21">
        <v>18</v>
      </c>
      <c r="J6" s="21" t="s">
        <v>15</v>
      </c>
      <c r="K6" s="21" t="s">
        <v>15</v>
      </c>
      <c r="L6" s="21" t="s">
        <v>15</v>
      </c>
      <c r="M6" s="21" t="s">
        <v>15</v>
      </c>
      <c r="N6" s="21" t="s">
        <v>15</v>
      </c>
      <c r="O6" s="21" t="s">
        <v>17</v>
      </c>
      <c r="P6" s="21"/>
      <c r="Q6" s="21"/>
      <c r="R6" s="16" t="str">
        <f t="shared" si="3"/>
        <v>N</v>
      </c>
      <c r="S6" s="21" t="str">
        <f t="shared" si="8"/>
        <v>Y</v>
      </c>
      <c r="T6" s="21" t="str">
        <f t="shared" si="8"/>
        <v>N</v>
      </c>
      <c r="U6" s="21" t="str">
        <f t="shared" si="0"/>
        <v>Y</v>
      </c>
      <c r="V6" s="16" t="str">
        <f t="shared" si="4"/>
        <v>N</v>
      </c>
      <c r="W6" s="16" t="s">
        <v>15</v>
      </c>
      <c r="X6" s="16" t="s">
        <v>15</v>
      </c>
      <c r="Y6" s="21" t="str">
        <f t="shared" si="5"/>
        <v>N</v>
      </c>
      <c r="Z6" s="16" t="str">
        <f t="shared" si="6"/>
        <v>N</v>
      </c>
      <c r="AA6" s="16" t="s">
        <v>15</v>
      </c>
      <c r="AB6" s="16" t="s">
        <v>15</v>
      </c>
      <c r="AC6" s="21" t="str">
        <f t="shared" si="7"/>
        <v>N</v>
      </c>
    </row>
    <row r="7" spans="1:34" hidden="1">
      <c r="A7" s="23">
        <v>17</v>
      </c>
      <c r="B7" s="12">
        <v>0.47653935185185187</v>
      </c>
      <c r="C7" s="12">
        <v>0.47672453703703704</v>
      </c>
      <c r="D7" s="13">
        <v>1.8518518518517713E-4</v>
      </c>
      <c r="E7" s="14">
        <v>15.999999999999304</v>
      </c>
      <c r="F7" s="15">
        <v>1.1250000000000488</v>
      </c>
      <c r="G7" s="16" t="s">
        <v>45</v>
      </c>
      <c r="H7" s="16" t="s">
        <v>19</v>
      </c>
      <c r="I7" s="16">
        <v>18</v>
      </c>
      <c r="J7" s="16" t="s">
        <v>15</v>
      </c>
      <c r="K7" s="16" t="s">
        <v>15</v>
      </c>
      <c r="L7" s="16" t="s">
        <v>15</v>
      </c>
      <c r="M7" s="16" t="s">
        <v>15</v>
      </c>
      <c r="N7" s="16" t="s">
        <v>16</v>
      </c>
      <c r="O7" s="16" t="s">
        <v>17</v>
      </c>
      <c r="P7" s="16"/>
      <c r="Q7" s="16"/>
      <c r="R7" s="16" t="str">
        <f t="shared" si="3"/>
        <v>N</v>
      </c>
      <c r="S7" s="21" t="str">
        <f t="shared" si="8"/>
        <v>N</v>
      </c>
      <c r="T7" s="21" t="str">
        <f t="shared" si="8"/>
        <v>Y</v>
      </c>
      <c r="U7" s="21" t="str">
        <f t="shared" si="0"/>
        <v>Y</v>
      </c>
      <c r="V7" s="16" t="str">
        <f t="shared" si="4"/>
        <v>N</v>
      </c>
      <c r="W7" s="16" t="s">
        <v>15</v>
      </c>
      <c r="X7" s="16" t="s">
        <v>15</v>
      </c>
      <c r="Y7" s="21" t="str">
        <f t="shared" si="5"/>
        <v>N</v>
      </c>
      <c r="Z7" s="16" t="str">
        <f t="shared" si="6"/>
        <v>N</v>
      </c>
      <c r="AA7" s="16" t="s">
        <v>15</v>
      </c>
      <c r="AB7" s="16" t="s">
        <v>15</v>
      </c>
      <c r="AC7" s="21" t="str">
        <f t="shared" si="7"/>
        <v>N</v>
      </c>
    </row>
    <row r="8" spans="1:34" hidden="1">
      <c r="A8" s="22">
        <v>19</v>
      </c>
      <c r="B8" s="17">
        <v>0.47672453703703704</v>
      </c>
      <c r="C8" s="17">
        <v>0.47685185185185186</v>
      </c>
      <c r="D8" s="18">
        <v>1.2731481481481621E-4</v>
      </c>
      <c r="E8" s="19">
        <v>11.000000000000121</v>
      </c>
      <c r="F8" s="20">
        <v>1.6363636363636185</v>
      </c>
      <c r="G8" s="21" t="s">
        <v>242</v>
      </c>
      <c r="H8" s="21" t="s">
        <v>19</v>
      </c>
      <c r="I8" s="21">
        <v>18</v>
      </c>
      <c r="J8" s="21" t="s">
        <v>15</v>
      </c>
      <c r="K8" s="21" t="s">
        <v>15</v>
      </c>
      <c r="L8" s="21" t="s">
        <v>15</v>
      </c>
      <c r="M8" s="21" t="s">
        <v>15</v>
      </c>
      <c r="N8" s="21" t="s">
        <v>15</v>
      </c>
      <c r="O8" s="21" t="s">
        <v>20</v>
      </c>
      <c r="P8" s="21"/>
      <c r="Q8" s="21"/>
      <c r="R8" s="16" t="str">
        <f t="shared" si="3"/>
        <v>N</v>
      </c>
      <c r="S8" s="21" t="str">
        <f t="shared" si="8"/>
        <v>N</v>
      </c>
      <c r="T8" s="21" t="str">
        <f t="shared" si="8"/>
        <v>N</v>
      </c>
      <c r="U8" s="21" t="str">
        <f t="shared" si="0"/>
        <v>N</v>
      </c>
      <c r="V8" s="16" t="str">
        <f t="shared" si="4"/>
        <v>N</v>
      </c>
      <c r="W8" s="16" t="s">
        <v>15</v>
      </c>
      <c r="X8" s="16" t="s">
        <v>15</v>
      </c>
      <c r="Y8" s="21" t="str">
        <f t="shared" si="5"/>
        <v>N</v>
      </c>
      <c r="Z8" s="16" t="str">
        <f t="shared" si="6"/>
        <v>N</v>
      </c>
      <c r="AA8" s="16" t="s">
        <v>15</v>
      </c>
      <c r="AB8" s="16" t="s">
        <v>15</v>
      </c>
      <c r="AC8" s="21" t="str">
        <f t="shared" si="7"/>
        <v>N</v>
      </c>
    </row>
    <row r="9" spans="1:34" hidden="1">
      <c r="A9" s="23">
        <v>23</v>
      </c>
      <c r="B9" s="12">
        <v>0.47692129629629632</v>
      </c>
      <c r="C9" s="12">
        <v>0.4770833333333333</v>
      </c>
      <c r="D9" s="13">
        <v>1.6203703703698835E-4</v>
      </c>
      <c r="E9" s="14">
        <v>13.999999999995794</v>
      </c>
      <c r="F9" s="15">
        <v>1.2857142857146719</v>
      </c>
      <c r="G9" s="16" t="s">
        <v>45</v>
      </c>
      <c r="H9" s="16" t="s">
        <v>19</v>
      </c>
      <c r="I9" s="16">
        <v>18</v>
      </c>
      <c r="J9" s="16" t="s">
        <v>15</v>
      </c>
      <c r="K9" s="16" t="s">
        <v>15</v>
      </c>
      <c r="L9" s="16" t="s">
        <v>15</v>
      </c>
      <c r="M9" s="16" t="s">
        <v>15</v>
      </c>
      <c r="N9" s="16" t="s">
        <v>15</v>
      </c>
      <c r="O9" s="16" t="s">
        <v>17</v>
      </c>
      <c r="P9" s="16"/>
      <c r="Q9" s="16"/>
      <c r="R9" s="16" t="str">
        <f t="shared" si="3"/>
        <v>N</v>
      </c>
      <c r="S9" s="21" t="str">
        <f t="shared" si="8"/>
        <v>N</v>
      </c>
      <c r="T9" s="21" t="str">
        <f t="shared" si="8"/>
        <v>N</v>
      </c>
      <c r="U9" s="21" t="str">
        <f t="shared" si="0"/>
        <v>N</v>
      </c>
      <c r="V9" s="16" t="str">
        <f t="shared" si="4"/>
        <v>N</v>
      </c>
      <c r="W9" s="16" t="s">
        <v>15</v>
      </c>
      <c r="X9" s="16" t="s">
        <v>15</v>
      </c>
      <c r="Y9" s="21" t="str">
        <f t="shared" si="5"/>
        <v>N</v>
      </c>
      <c r="Z9" s="16" t="str">
        <f t="shared" si="6"/>
        <v>N</v>
      </c>
      <c r="AA9" s="16" t="s">
        <v>15</v>
      </c>
      <c r="AB9" s="16" t="s">
        <v>15</v>
      </c>
      <c r="AC9" s="21" t="str">
        <f t="shared" si="7"/>
        <v>N</v>
      </c>
    </row>
    <row r="10" spans="1:34" hidden="1">
      <c r="A10" s="22">
        <v>30</v>
      </c>
      <c r="B10" s="17">
        <v>0.47722222222222221</v>
      </c>
      <c r="C10" s="17">
        <v>0.47745370370370371</v>
      </c>
      <c r="D10" s="18">
        <v>2.3148148148149916E-4</v>
      </c>
      <c r="E10" s="19">
        <v>20.000000000001528</v>
      </c>
      <c r="F10" s="20">
        <v>0.8999999999999313</v>
      </c>
      <c r="G10" s="21" t="s">
        <v>40</v>
      </c>
      <c r="H10" s="21" t="s">
        <v>19</v>
      </c>
      <c r="I10" s="21">
        <v>18</v>
      </c>
      <c r="J10" s="21" t="s">
        <v>16</v>
      </c>
      <c r="K10" s="21" t="s">
        <v>15</v>
      </c>
      <c r="L10" s="21" t="s">
        <v>15</v>
      </c>
      <c r="M10" s="21" t="s">
        <v>15</v>
      </c>
      <c r="N10" s="21" t="s">
        <v>15</v>
      </c>
      <c r="O10" s="21" t="s">
        <v>20</v>
      </c>
      <c r="P10" s="21"/>
      <c r="Q10" s="21"/>
      <c r="R10" s="16" t="str">
        <f t="shared" si="3"/>
        <v>N</v>
      </c>
      <c r="S10" s="21" t="str">
        <f t="shared" si="8"/>
        <v>N</v>
      </c>
      <c r="T10" s="21" t="str">
        <f t="shared" si="8"/>
        <v>N</v>
      </c>
      <c r="U10" s="21" t="str">
        <f t="shared" si="0"/>
        <v>N</v>
      </c>
      <c r="V10" s="16" t="str">
        <f t="shared" si="4"/>
        <v>N</v>
      </c>
      <c r="W10" s="16" t="s">
        <v>15</v>
      </c>
      <c r="X10" s="16" t="s">
        <v>15</v>
      </c>
      <c r="Y10" s="21" t="str">
        <f t="shared" si="5"/>
        <v>N</v>
      </c>
      <c r="Z10" s="16" t="str">
        <f t="shared" si="6"/>
        <v>N</v>
      </c>
      <c r="AA10" s="16" t="s">
        <v>15</v>
      </c>
      <c r="AB10" s="16" t="s">
        <v>15</v>
      </c>
      <c r="AC10" s="21" t="str">
        <f t="shared" si="7"/>
        <v>N</v>
      </c>
    </row>
    <row r="11" spans="1:34">
      <c r="A11" s="23">
        <v>31</v>
      </c>
      <c r="B11" s="12">
        <v>0.47728009259259263</v>
      </c>
      <c r="C11" s="12">
        <v>0.47745370370370371</v>
      </c>
      <c r="D11" s="13">
        <v>1.7361111111108274E-4</v>
      </c>
      <c r="E11" s="14">
        <v>14.999999999997549</v>
      </c>
      <c r="F11" s="15">
        <v>1.200000000000196</v>
      </c>
      <c r="G11" s="16" t="s">
        <v>39</v>
      </c>
      <c r="H11" s="16" t="s">
        <v>19</v>
      </c>
      <c r="I11" s="16">
        <v>18</v>
      </c>
      <c r="J11" s="16" t="s">
        <v>16</v>
      </c>
      <c r="K11" s="16" t="s">
        <v>15</v>
      </c>
      <c r="L11" s="16" t="s">
        <v>15</v>
      </c>
      <c r="M11" s="16" t="s">
        <v>15</v>
      </c>
      <c r="N11" s="16" t="s">
        <v>15</v>
      </c>
      <c r="O11" s="16" t="s">
        <v>17</v>
      </c>
      <c r="P11" s="16"/>
      <c r="Q11" s="16"/>
      <c r="R11" s="16" t="str">
        <f t="shared" si="3"/>
        <v>N</v>
      </c>
      <c r="S11" s="21" t="str">
        <f t="shared" si="8"/>
        <v>N</v>
      </c>
      <c r="T11" s="21" t="str">
        <f t="shared" si="8"/>
        <v>N</v>
      </c>
      <c r="U11" s="21" t="str">
        <f t="shared" si="0"/>
        <v>N</v>
      </c>
      <c r="V11" s="16" t="str">
        <f t="shared" si="4"/>
        <v>N</v>
      </c>
      <c r="W11" s="16" t="s">
        <v>15</v>
      </c>
      <c r="X11" s="16" t="s">
        <v>15</v>
      </c>
      <c r="Y11" s="21" t="str">
        <f t="shared" si="5"/>
        <v>N</v>
      </c>
      <c r="Z11" s="16" t="str">
        <f t="shared" si="6"/>
        <v>Y</v>
      </c>
      <c r="AA11" s="16" t="s">
        <v>15</v>
      </c>
      <c r="AB11" s="16" t="s">
        <v>15</v>
      </c>
      <c r="AC11" s="21" t="str">
        <f t="shared" si="7"/>
        <v>Y</v>
      </c>
    </row>
    <row r="12" spans="1:34">
      <c r="A12" s="22">
        <v>34</v>
      </c>
      <c r="B12" s="17">
        <v>0.47734953703703703</v>
      </c>
      <c r="C12" s="17">
        <v>0.47753472222222221</v>
      </c>
      <c r="D12" s="18">
        <v>1.8518518518517713E-4</v>
      </c>
      <c r="E12" s="19">
        <v>15.999999999999304</v>
      </c>
      <c r="F12" s="20">
        <v>1.1250000000000488</v>
      </c>
      <c r="G12" s="21" t="s">
        <v>37</v>
      </c>
      <c r="H12" s="21" t="s">
        <v>19</v>
      </c>
      <c r="I12" s="21">
        <v>18</v>
      </c>
      <c r="J12" s="21" t="s">
        <v>15</v>
      </c>
      <c r="K12" s="21" t="s">
        <v>15</v>
      </c>
      <c r="L12" s="21" t="s">
        <v>15</v>
      </c>
      <c r="M12" s="21" t="s">
        <v>15</v>
      </c>
      <c r="N12" s="21" t="s">
        <v>15</v>
      </c>
      <c r="O12" s="21" t="s">
        <v>17</v>
      </c>
      <c r="P12" s="21"/>
      <c r="Q12" s="21">
        <v>36</v>
      </c>
      <c r="R12" s="16" t="str">
        <f t="shared" si="3"/>
        <v>N</v>
      </c>
      <c r="S12" s="21" t="str">
        <f t="shared" si="8"/>
        <v>N</v>
      </c>
      <c r="T12" s="21" t="str">
        <f t="shared" si="8"/>
        <v>N</v>
      </c>
      <c r="U12" s="21" t="str">
        <f t="shared" si="0"/>
        <v>N</v>
      </c>
      <c r="V12" s="16" t="str">
        <f t="shared" si="4"/>
        <v>N</v>
      </c>
      <c r="W12" s="16" t="s">
        <v>15</v>
      </c>
      <c r="X12" s="16" t="s">
        <v>15</v>
      </c>
      <c r="Y12" s="21" t="str">
        <f t="shared" si="5"/>
        <v>N</v>
      </c>
      <c r="Z12" s="16" t="str">
        <f t="shared" si="6"/>
        <v>Y</v>
      </c>
      <c r="AA12" s="16" t="s">
        <v>15</v>
      </c>
      <c r="AB12" s="16" t="s">
        <v>15</v>
      </c>
      <c r="AC12" s="21" t="str">
        <f t="shared" si="7"/>
        <v>Y</v>
      </c>
    </row>
    <row r="13" spans="1:34" hidden="1">
      <c r="A13" s="23">
        <v>36</v>
      </c>
      <c r="B13" s="12">
        <v>0.47738425925925926</v>
      </c>
      <c r="C13" s="12">
        <v>0.47754629629629625</v>
      </c>
      <c r="D13" s="13">
        <v>1.6203703703698835E-4</v>
      </c>
      <c r="E13" s="14">
        <v>13.999999999995794</v>
      </c>
      <c r="F13" s="15">
        <v>1.2857142857146719</v>
      </c>
      <c r="G13" s="16" t="s">
        <v>36</v>
      </c>
      <c r="H13" s="16" t="s">
        <v>19</v>
      </c>
      <c r="I13" s="16">
        <v>18</v>
      </c>
      <c r="J13" s="16" t="s">
        <v>15</v>
      </c>
      <c r="K13" s="16" t="s">
        <v>16</v>
      </c>
      <c r="L13" s="16" t="s">
        <v>16</v>
      </c>
      <c r="M13" s="16" t="s">
        <v>15</v>
      </c>
      <c r="N13" s="16" t="s">
        <v>16</v>
      </c>
      <c r="O13" s="16" t="s">
        <v>17</v>
      </c>
      <c r="P13" s="16" t="s">
        <v>16</v>
      </c>
      <c r="Q13" s="16"/>
      <c r="R13" s="16" t="str">
        <f t="shared" si="3"/>
        <v>N</v>
      </c>
      <c r="S13" s="21" t="str">
        <f t="shared" si="8"/>
        <v>N</v>
      </c>
      <c r="T13" s="21" t="str">
        <f t="shared" si="8"/>
        <v>N</v>
      </c>
      <c r="U13" s="21" t="str">
        <f t="shared" si="0"/>
        <v>N</v>
      </c>
      <c r="V13" s="16" t="str">
        <f t="shared" si="4"/>
        <v>N</v>
      </c>
      <c r="W13" s="16" t="s">
        <v>15</v>
      </c>
      <c r="X13" s="16" t="s">
        <v>15</v>
      </c>
      <c r="Y13" s="21" t="str">
        <f t="shared" si="5"/>
        <v>N</v>
      </c>
      <c r="Z13" s="16" t="str">
        <f t="shared" si="6"/>
        <v>N</v>
      </c>
      <c r="AA13" s="16" t="s">
        <v>15</v>
      </c>
      <c r="AB13" s="16" t="s">
        <v>15</v>
      </c>
      <c r="AC13" s="21" t="str">
        <f t="shared" si="7"/>
        <v>N</v>
      </c>
    </row>
    <row r="14" spans="1:34" hidden="1">
      <c r="A14" s="22">
        <v>37</v>
      </c>
      <c r="B14" s="17">
        <v>0.47744212962962962</v>
      </c>
      <c r="C14" s="17">
        <v>0.47754629629629625</v>
      </c>
      <c r="D14" s="18">
        <v>1.0416666666662744E-4</v>
      </c>
      <c r="E14" s="19">
        <v>8.9999999999966107</v>
      </c>
      <c r="F14" s="20">
        <v>2.0000000000007532</v>
      </c>
      <c r="G14" s="21" t="s">
        <v>35</v>
      </c>
      <c r="H14" s="21" t="s">
        <v>19</v>
      </c>
      <c r="I14" s="21">
        <v>18</v>
      </c>
      <c r="J14" s="21" t="s">
        <v>15</v>
      </c>
      <c r="K14" s="21" t="s">
        <v>15</v>
      </c>
      <c r="L14" s="21" t="s">
        <v>15</v>
      </c>
      <c r="M14" s="21" t="s">
        <v>30</v>
      </c>
      <c r="N14" s="21" t="s">
        <v>15</v>
      </c>
      <c r="O14" s="21" t="s">
        <v>20</v>
      </c>
      <c r="P14" s="21"/>
      <c r="Q14" s="21"/>
      <c r="R14" s="16" t="str">
        <f t="shared" si="3"/>
        <v>Y</v>
      </c>
      <c r="S14" s="21" t="str">
        <f t="shared" si="8"/>
        <v>N</v>
      </c>
      <c r="T14" s="21" t="str">
        <f t="shared" si="8"/>
        <v>N</v>
      </c>
      <c r="U14" s="21" t="str">
        <f t="shared" si="0"/>
        <v>Y</v>
      </c>
      <c r="V14" s="16" t="str">
        <f t="shared" si="4"/>
        <v>N</v>
      </c>
      <c r="W14" s="16" t="s">
        <v>15</v>
      </c>
      <c r="X14" s="16" t="s">
        <v>15</v>
      </c>
      <c r="Y14" s="21" t="str">
        <f t="shared" si="5"/>
        <v>N</v>
      </c>
      <c r="Z14" s="16" t="str">
        <f t="shared" si="6"/>
        <v>N</v>
      </c>
      <c r="AA14" s="16" t="s">
        <v>15</v>
      </c>
      <c r="AB14" s="16" t="s">
        <v>15</v>
      </c>
      <c r="AC14" s="21" t="str">
        <f t="shared" si="7"/>
        <v>N</v>
      </c>
    </row>
    <row r="15" spans="1:34" hidden="1">
      <c r="A15" s="23">
        <v>42</v>
      </c>
      <c r="B15" s="12">
        <v>0.47767361111111112</v>
      </c>
      <c r="C15" s="12">
        <v>0.4778587962962963</v>
      </c>
      <c r="D15" s="13">
        <v>1.8518518518517713E-4</v>
      </c>
      <c r="E15" s="14">
        <v>15.999999999999304</v>
      </c>
      <c r="F15" s="15">
        <v>1.1250000000000488</v>
      </c>
      <c r="G15" s="16" t="s">
        <v>31</v>
      </c>
      <c r="H15" s="16" t="s">
        <v>19</v>
      </c>
      <c r="I15" s="16">
        <v>18</v>
      </c>
      <c r="J15" s="16" t="s">
        <v>15</v>
      </c>
      <c r="K15" s="16" t="s">
        <v>15</v>
      </c>
      <c r="L15" s="16" t="s">
        <v>15</v>
      </c>
      <c r="M15" s="16" t="s">
        <v>15</v>
      </c>
      <c r="N15" s="16" t="s">
        <v>15</v>
      </c>
      <c r="O15" s="16" t="s">
        <v>20</v>
      </c>
      <c r="P15" s="16"/>
      <c r="Q15" s="16"/>
      <c r="R15" s="16" t="str">
        <f t="shared" si="3"/>
        <v>N</v>
      </c>
      <c r="S15" s="21" t="str">
        <f t="shared" si="8"/>
        <v>Y</v>
      </c>
      <c r="T15" s="21" t="str">
        <f t="shared" si="8"/>
        <v>N</v>
      </c>
      <c r="U15" s="21" t="str">
        <f t="shared" si="0"/>
        <v>Y</v>
      </c>
      <c r="V15" s="16" t="str">
        <f t="shared" si="4"/>
        <v>N</v>
      </c>
      <c r="W15" s="16" t="s">
        <v>15</v>
      </c>
      <c r="X15" s="16" t="s">
        <v>15</v>
      </c>
      <c r="Y15" s="21" t="str">
        <f t="shared" si="5"/>
        <v>N</v>
      </c>
      <c r="Z15" s="16" t="str">
        <f t="shared" si="6"/>
        <v>N</v>
      </c>
      <c r="AA15" s="16" t="s">
        <v>15</v>
      </c>
      <c r="AB15" s="16" t="s">
        <v>15</v>
      </c>
      <c r="AC15" s="21" t="str">
        <f t="shared" si="7"/>
        <v>N</v>
      </c>
    </row>
    <row r="16" spans="1:34" hidden="1">
      <c r="A16" s="22">
        <v>43</v>
      </c>
      <c r="B16" s="17">
        <v>0.47773148148148148</v>
      </c>
      <c r="C16" s="17">
        <v>0.47789351851851852</v>
      </c>
      <c r="D16" s="18">
        <v>1.6203703703704386E-4</v>
      </c>
      <c r="E16" s="19">
        <v>14.00000000000059</v>
      </c>
      <c r="F16" s="20">
        <v>1.2857142857142316</v>
      </c>
      <c r="G16" s="21" t="s">
        <v>29</v>
      </c>
      <c r="H16" s="21" t="s">
        <v>19</v>
      </c>
      <c r="I16" s="21">
        <v>18</v>
      </c>
      <c r="J16" s="21" t="s">
        <v>15</v>
      </c>
      <c r="K16" s="21" t="s">
        <v>15</v>
      </c>
      <c r="L16" s="21" t="s">
        <v>15</v>
      </c>
      <c r="M16" s="21" t="s">
        <v>30</v>
      </c>
      <c r="N16" s="21" t="s">
        <v>15</v>
      </c>
      <c r="O16" s="21" t="s">
        <v>20</v>
      </c>
      <c r="P16" s="21"/>
      <c r="Q16" s="21"/>
      <c r="R16" s="16" t="str">
        <f t="shared" si="3"/>
        <v>N</v>
      </c>
      <c r="S16" s="21" t="str">
        <f t="shared" si="8"/>
        <v>N</v>
      </c>
      <c r="T16" s="21" t="str">
        <f t="shared" si="8"/>
        <v>Y</v>
      </c>
      <c r="U16" s="21" t="str">
        <f t="shared" si="0"/>
        <v>Y</v>
      </c>
      <c r="V16" s="16" t="str">
        <f t="shared" si="4"/>
        <v>N</v>
      </c>
      <c r="W16" s="16" t="s">
        <v>15</v>
      </c>
      <c r="X16" s="16" t="s">
        <v>15</v>
      </c>
      <c r="Y16" s="21" t="str">
        <f t="shared" si="5"/>
        <v>N</v>
      </c>
      <c r="Z16" s="16" t="str">
        <f t="shared" si="6"/>
        <v>N</v>
      </c>
      <c r="AA16" s="16" t="s">
        <v>15</v>
      </c>
      <c r="AB16" s="16" t="s">
        <v>15</v>
      </c>
      <c r="AC16" s="21" t="str">
        <f t="shared" si="7"/>
        <v>N</v>
      </c>
    </row>
    <row r="17" spans="1:29" hidden="1">
      <c r="A17" s="23">
        <v>45</v>
      </c>
      <c r="B17" s="12">
        <v>0.47776620370370365</v>
      </c>
      <c r="C17" s="12">
        <v>0.47796296296296298</v>
      </c>
      <c r="D17" s="13">
        <v>1.9675925925932702E-4</v>
      </c>
      <c r="E17" s="14">
        <v>17.000000000005855</v>
      </c>
      <c r="F17" s="15">
        <v>1.0588235294114001</v>
      </c>
      <c r="G17" s="16" t="s">
        <v>26</v>
      </c>
      <c r="H17" s="16" t="s">
        <v>19</v>
      </c>
      <c r="I17" s="16">
        <v>18</v>
      </c>
      <c r="J17" s="16" t="s">
        <v>15</v>
      </c>
      <c r="K17" s="16" t="s">
        <v>15</v>
      </c>
      <c r="L17" s="16" t="s">
        <v>15</v>
      </c>
      <c r="M17" s="16" t="s">
        <v>15</v>
      </c>
      <c r="N17" s="16" t="s">
        <v>15</v>
      </c>
      <c r="O17" s="16" t="s">
        <v>20</v>
      </c>
      <c r="P17" s="16"/>
      <c r="Q17" s="16"/>
      <c r="R17" s="16" t="str">
        <f t="shared" si="3"/>
        <v>N</v>
      </c>
      <c r="S17" s="21" t="str">
        <f t="shared" si="8"/>
        <v>N</v>
      </c>
      <c r="T17" s="21" t="str">
        <f t="shared" si="8"/>
        <v>N</v>
      </c>
      <c r="U17" s="21" t="str">
        <f t="shared" si="0"/>
        <v>N</v>
      </c>
      <c r="V17" s="16" t="str">
        <f t="shared" si="4"/>
        <v>N</v>
      </c>
      <c r="W17" s="16" t="s">
        <v>15</v>
      </c>
      <c r="X17" s="16" t="s">
        <v>15</v>
      </c>
      <c r="Y17" s="21" t="str">
        <f t="shared" si="5"/>
        <v>N</v>
      </c>
      <c r="Z17" s="16" t="str">
        <f t="shared" si="6"/>
        <v>N</v>
      </c>
      <c r="AA17" s="16" t="s">
        <v>15</v>
      </c>
      <c r="AB17" s="16" t="s">
        <v>15</v>
      </c>
      <c r="AC17" s="21" t="str">
        <f t="shared" si="7"/>
        <v>N</v>
      </c>
    </row>
    <row r="18" spans="1:29" hidden="1">
      <c r="A18" s="22">
        <v>46</v>
      </c>
      <c r="B18" s="17">
        <v>0.4778587962962963</v>
      </c>
      <c r="C18" s="17">
        <v>0.47799768518518521</v>
      </c>
      <c r="D18" s="18">
        <v>1.388888888889106E-4</v>
      </c>
      <c r="E18" s="19">
        <v>12.000000000001876</v>
      </c>
      <c r="F18" s="20">
        <v>1.4999999999997655</v>
      </c>
      <c r="G18" s="21" t="s">
        <v>25</v>
      </c>
      <c r="H18" s="21" t="s">
        <v>19</v>
      </c>
      <c r="I18" s="21">
        <v>18</v>
      </c>
      <c r="J18" s="21" t="s">
        <v>15</v>
      </c>
      <c r="K18" s="21" t="s">
        <v>15</v>
      </c>
      <c r="L18" s="21" t="s">
        <v>15</v>
      </c>
      <c r="M18" s="21" t="s">
        <v>15</v>
      </c>
      <c r="N18" s="21" t="s">
        <v>15</v>
      </c>
      <c r="O18" s="21" t="s">
        <v>20</v>
      </c>
      <c r="P18" s="21"/>
      <c r="Q18" s="21"/>
      <c r="R18" s="16" t="str">
        <f t="shared" si="3"/>
        <v>N</v>
      </c>
      <c r="S18" s="21" t="str">
        <f t="shared" si="8"/>
        <v>N</v>
      </c>
      <c r="T18" s="21" t="str">
        <f t="shared" si="8"/>
        <v>N</v>
      </c>
      <c r="U18" s="21" t="str">
        <f t="shared" si="0"/>
        <v>N</v>
      </c>
      <c r="V18" s="16" t="str">
        <f t="shared" si="4"/>
        <v>N</v>
      </c>
      <c r="W18" s="16" t="s">
        <v>15</v>
      </c>
      <c r="X18" s="16" t="s">
        <v>15</v>
      </c>
      <c r="Y18" s="21" t="str">
        <f t="shared" si="5"/>
        <v>N</v>
      </c>
      <c r="Z18" s="16" t="str">
        <f t="shared" si="6"/>
        <v>N</v>
      </c>
      <c r="AA18" s="16" t="s">
        <v>15</v>
      </c>
      <c r="AB18" s="16" t="s">
        <v>15</v>
      </c>
      <c r="AC18" s="21" t="str">
        <f t="shared" si="7"/>
        <v>N</v>
      </c>
    </row>
    <row r="19" spans="1:29" hidden="1">
      <c r="A19" s="23">
        <v>48</v>
      </c>
      <c r="B19" s="12">
        <v>0.47793981481481485</v>
      </c>
      <c r="C19" s="12">
        <v>0.47812499999999997</v>
      </c>
      <c r="D19" s="13">
        <v>1.8518518518512161E-4</v>
      </c>
      <c r="E19" s="14">
        <v>15.999999999994508</v>
      </c>
      <c r="F19" s="15">
        <v>1.1250000000003861</v>
      </c>
      <c r="G19" s="16" t="s">
        <v>232</v>
      </c>
      <c r="H19" s="16" t="s">
        <v>19</v>
      </c>
      <c r="I19" s="16">
        <v>18</v>
      </c>
      <c r="J19" s="16" t="s">
        <v>16</v>
      </c>
      <c r="K19" s="16" t="s">
        <v>15</v>
      </c>
      <c r="L19" s="16" t="s">
        <v>15</v>
      </c>
      <c r="M19" s="16" t="s">
        <v>15</v>
      </c>
      <c r="N19" s="16" t="s">
        <v>15</v>
      </c>
      <c r="O19" s="16" t="s">
        <v>17</v>
      </c>
      <c r="P19" s="16"/>
      <c r="Q19" s="16"/>
      <c r="R19" s="16" t="str">
        <f t="shared" si="3"/>
        <v>N</v>
      </c>
      <c r="S19" s="21" t="str">
        <f t="shared" si="8"/>
        <v>N</v>
      </c>
      <c r="T19" s="21" t="str">
        <f t="shared" si="8"/>
        <v>N</v>
      </c>
      <c r="U19" s="21" t="str">
        <f t="shared" si="0"/>
        <v>N</v>
      </c>
      <c r="V19" s="16" t="str">
        <f t="shared" si="4"/>
        <v>N</v>
      </c>
      <c r="W19" s="16" t="s">
        <v>15</v>
      </c>
      <c r="X19" s="16" t="s">
        <v>15</v>
      </c>
      <c r="Y19" s="21" t="str">
        <f t="shared" si="5"/>
        <v>N</v>
      </c>
      <c r="Z19" s="16" t="str">
        <f t="shared" si="6"/>
        <v>N</v>
      </c>
      <c r="AA19" s="16" t="s">
        <v>15</v>
      </c>
      <c r="AB19" s="16" t="s">
        <v>15</v>
      </c>
      <c r="AC19" s="21" t="str">
        <f t="shared" si="7"/>
        <v>N</v>
      </c>
    </row>
    <row r="20" spans="1:29">
      <c r="A20" s="22">
        <v>49</v>
      </c>
      <c r="B20" s="17">
        <v>0.47798611111111117</v>
      </c>
      <c r="C20" s="17">
        <v>0.47812499999999997</v>
      </c>
      <c r="D20" s="18">
        <v>1.3888888888879958E-4</v>
      </c>
      <c r="E20" s="19">
        <v>11.999999999992284</v>
      </c>
      <c r="F20" s="20">
        <v>1.5000000000009646</v>
      </c>
      <c r="G20" s="21" t="s">
        <v>23</v>
      </c>
      <c r="H20" s="21" t="s">
        <v>19</v>
      </c>
      <c r="I20" s="21">
        <v>18</v>
      </c>
      <c r="J20" s="21" t="s">
        <v>16</v>
      </c>
      <c r="K20" s="21" t="s">
        <v>15</v>
      </c>
      <c r="L20" s="21" t="s">
        <v>15</v>
      </c>
      <c r="M20" s="21" t="s">
        <v>15</v>
      </c>
      <c r="N20" s="21" t="s">
        <v>15</v>
      </c>
      <c r="O20" s="21" t="s">
        <v>20</v>
      </c>
      <c r="P20" s="21"/>
      <c r="Q20" s="21"/>
      <c r="R20" s="16" t="str">
        <f t="shared" si="3"/>
        <v>N</v>
      </c>
      <c r="S20" s="21" t="str">
        <f t="shared" si="8"/>
        <v>N</v>
      </c>
      <c r="T20" s="21" t="str">
        <f t="shared" si="8"/>
        <v>N</v>
      </c>
      <c r="U20" s="21" t="str">
        <f t="shared" si="0"/>
        <v>N</v>
      </c>
      <c r="V20" s="16" t="str">
        <f t="shared" si="4"/>
        <v>N</v>
      </c>
      <c r="W20" s="16" t="s">
        <v>15</v>
      </c>
      <c r="X20" s="16" t="s">
        <v>15</v>
      </c>
      <c r="Y20" s="21" t="str">
        <f t="shared" si="5"/>
        <v>N</v>
      </c>
      <c r="Z20" s="16" t="str">
        <f t="shared" si="6"/>
        <v>Y</v>
      </c>
      <c r="AA20" s="16" t="s">
        <v>15</v>
      </c>
      <c r="AB20" s="16" t="s">
        <v>15</v>
      </c>
      <c r="AC20" s="21" t="str">
        <f t="shared" si="7"/>
        <v>Y</v>
      </c>
    </row>
    <row r="21" spans="1:29">
      <c r="A21" s="23">
        <v>52</v>
      </c>
      <c r="B21" s="12">
        <v>0.47806712962962966</v>
      </c>
      <c r="C21" s="12">
        <v>0.47819444444444442</v>
      </c>
      <c r="D21" s="13">
        <v>1.273148148147607E-4</v>
      </c>
      <c r="E21" s="14">
        <v>10.999999999995325</v>
      </c>
      <c r="F21" s="15">
        <v>1.6363636363643319</v>
      </c>
      <c r="G21" s="16" t="s">
        <v>18</v>
      </c>
      <c r="H21" s="16" t="s">
        <v>19</v>
      </c>
      <c r="I21" s="16">
        <v>18</v>
      </c>
      <c r="J21" s="16" t="s">
        <v>15</v>
      </c>
      <c r="K21" s="16" t="s">
        <v>15</v>
      </c>
      <c r="L21" s="16" t="s">
        <v>15</v>
      </c>
      <c r="M21" s="16" t="s">
        <v>15</v>
      </c>
      <c r="N21" s="16" t="s">
        <v>15</v>
      </c>
      <c r="O21" s="16" t="s">
        <v>20</v>
      </c>
      <c r="P21" s="16"/>
      <c r="Q21" s="16"/>
      <c r="R21" s="16" t="str">
        <f t="shared" si="3"/>
        <v>N</v>
      </c>
      <c r="S21" s="21" t="str">
        <f t="shared" si="8"/>
        <v>N</v>
      </c>
      <c r="T21" s="21" t="str">
        <f t="shared" si="8"/>
        <v>N</v>
      </c>
      <c r="U21" s="21" t="str">
        <f t="shared" si="0"/>
        <v>N</v>
      </c>
      <c r="V21" s="16" t="str">
        <f t="shared" si="4"/>
        <v>N</v>
      </c>
      <c r="W21" s="16" t="s">
        <v>15</v>
      </c>
      <c r="X21" s="16" t="s">
        <v>15</v>
      </c>
      <c r="Y21" s="21" t="str">
        <f t="shared" si="5"/>
        <v>N</v>
      </c>
      <c r="Z21" s="16" t="str">
        <f t="shared" si="6"/>
        <v>Y</v>
      </c>
      <c r="AA21" s="16" t="s">
        <v>15</v>
      </c>
      <c r="AB21" s="16" t="s">
        <v>15</v>
      </c>
      <c r="AC21" s="21" t="str">
        <f t="shared" si="7"/>
        <v>Y</v>
      </c>
    </row>
    <row r="22" spans="1:29" hidden="1">
      <c r="A22" s="22">
        <v>56</v>
      </c>
      <c r="B22" s="17">
        <v>0.4782986111111111</v>
      </c>
      <c r="C22" s="17">
        <v>0.47848379629629628</v>
      </c>
      <c r="D22" s="18">
        <v>1.8518518518517713E-4</v>
      </c>
      <c r="E22" s="19">
        <v>15.999999999999304</v>
      </c>
      <c r="F22" s="20">
        <v>1.1250000000000488</v>
      </c>
      <c r="G22" s="21" t="s">
        <v>60</v>
      </c>
      <c r="H22" s="21" t="s">
        <v>19</v>
      </c>
      <c r="I22" s="21">
        <v>18</v>
      </c>
      <c r="J22" s="21" t="s">
        <v>16</v>
      </c>
      <c r="K22" s="21" t="s">
        <v>15</v>
      </c>
      <c r="L22" s="21" t="s">
        <v>15</v>
      </c>
      <c r="M22" s="21" t="s">
        <v>15</v>
      </c>
      <c r="N22" s="21" t="s">
        <v>16</v>
      </c>
      <c r="O22" s="21" t="s">
        <v>17</v>
      </c>
      <c r="P22" s="21"/>
      <c r="Q22" s="21">
        <v>58</v>
      </c>
      <c r="R22" s="16" t="str">
        <f t="shared" si="3"/>
        <v>N</v>
      </c>
      <c r="S22" s="21" t="str">
        <f t="shared" si="8"/>
        <v>N</v>
      </c>
      <c r="T22" s="21" t="str">
        <f t="shared" si="8"/>
        <v>N</v>
      </c>
      <c r="U22" s="21" t="str">
        <f t="shared" si="0"/>
        <v>N</v>
      </c>
      <c r="V22" s="16" t="str">
        <f t="shared" si="4"/>
        <v>N</v>
      </c>
      <c r="W22" s="16" t="s">
        <v>15</v>
      </c>
      <c r="X22" s="16" t="s">
        <v>15</v>
      </c>
      <c r="Y22" s="21" t="str">
        <f t="shared" si="5"/>
        <v>N</v>
      </c>
      <c r="Z22" s="16" t="str">
        <f t="shared" si="6"/>
        <v>N</v>
      </c>
      <c r="AA22" s="16" t="s">
        <v>15</v>
      </c>
      <c r="AB22" s="16" t="s">
        <v>15</v>
      </c>
      <c r="AC22" s="21" t="str">
        <f t="shared" si="7"/>
        <v>N</v>
      </c>
    </row>
    <row r="23" spans="1:29">
      <c r="A23" s="23">
        <v>57</v>
      </c>
      <c r="B23" s="12">
        <v>0.4782986111111111</v>
      </c>
      <c r="C23" s="12">
        <v>0.47848379629629628</v>
      </c>
      <c r="D23" s="13">
        <v>1.8518518518517713E-4</v>
      </c>
      <c r="E23" s="14">
        <v>15.999999999999304</v>
      </c>
      <c r="F23" s="15">
        <v>1.1250000000000488</v>
      </c>
      <c r="G23" s="16" t="s">
        <v>61</v>
      </c>
      <c r="H23" s="16" t="s">
        <v>19</v>
      </c>
      <c r="I23" s="16">
        <v>18</v>
      </c>
      <c r="J23" s="16" t="s">
        <v>16</v>
      </c>
      <c r="K23" s="16" t="s">
        <v>15</v>
      </c>
      <c r="L23" s="16" t="s">
        <v>15</v>
      </c>
      <c r="M23" s="16" t="s">
        <v>15</v>
      </c>
      <c r="N23" s="16" t="s">
        <v>15</v>
      </c>
      <c r="O23" s="16" t="s">
        <v>20</v>
      </c>
      <c r="P23" s="16"/>
      <c r="Q23" s="16">
        <v>58</v>
      </c>
      <c r="R23" s="16" t="str">
        <f t="shared" si="3"/>
        <v>N</v>
      </c>
      <c r="S23" s="21" t="str">
        <f t="shared" si="8"/>
        <v>N</v>
      </c>
      <c r="T23" s="21" t="str">
        <f t="shared" si="8"/>
        <v>N</v>
      </c>
      <c r="U23" s="21" t="str">
        <f t="shared" si="0"/>
        <v>N</v>
      </c>
      <c r="V23" s="16" t="str">
        <f t="shared" si="4"/>
        <v>N</v>
      </c>
      <c r="W23" s="16" t="s">
        <v>15</v>
      </c>
      <c r="X23" s="16" t="s">
        <v>15</v>
      </c>
      <c r="Y23" s="21" t="str">
        <f t="shared" si="5"/>
        <v>N</v>
      </c>
      <c r="Z23" s="16" t="str">
        <f t="shared" si="6"/>
        <v>Y</v>
      </c>
      <c r="AA23" s="16" t="s">
        <v>15</v>
      </c>
      <c r="AB23" s="16" t="s">
        <v>15</v>
      </c>
      <c r="AC23" s="21" t="str">
        <f t="shared" si="7"/>
        <v>Y</v>
      </c>
    </row>
    <row r="24" spans="1:29">
      <c r="A24" s="22">
        <v>58</v>
      </c>
      <c r="B24" s="17">
        <v>0.47835648148148152</v>
      </c>
      <c r="C24" s="17">
        <v>0.47851851851851851</v>
      </c>
      <c r="D24" s="18">
        <v>1.6203703703698835E-4</v>
      </c>
      <c r="E24" s="19">
        <v>13.999999999995794</v>
      </c>
      <c r="F24" s="20">
        <v>1.2857142857146719</v>
      </c>
      <c r="G24" s="21" t="s">
        <v>62</v>
      </c>
      <c r="H24" s="21" t="s">
        <v>19</v>
      </c>
      <c r="I24" s="21">
        <v>18</v>
      </c>
      <c r="J24" s="21" t="s">
        <v>15</v>
      </c>
      <c r="K24" s="21" t="s">
        <v>15</v>
      </c>
      <c r="L24" s="21" t="s">
        <v>15</v>
      </c>
      <c r="M24" s="21" t="s">
        <v>15</v>
      </c>
      <c r="N24" s="21" t="s">
        <v>16</v>
      </c>
      <c r="O24" s="21" t="s">
        <v>17</v>
      </c>
      <c r="P24" s="21" t="s">
        <v>16</v>
      </c>
      <c r="Q24" s="21"/>
      <c r="R24" s="16" t="str">
        <f t="shared" si="3"/>
        <v>N</v>
      </c>
      <c r="S24" s="21" t="str">
        <f t="shared" si="8"/>
        <v>N</v>
      </c>
      <c r="T24" s="21" t="str">
        <f t="shared" si="8"/>
        <v>N</v>
      </c>
      <c r="U24" s="21" t="str">
        <f t="shared" si="0"/>
        <v>N</v>
      </c>
      <c r="V24" s="16" t="str">
        <f t="shared" si="4"/>
        <v>N</v>
      </c>
      <c r="W24" s="16" t="s">
        <v>15</v>
      </c>
      <c r="X24" s="16" t="s">
        <v>15</v>
      </c>
      <c r="Y24" s="21" t="str">
        <f t="shared" si="5"/>
        <v>N</v>
      </c>
      <c r="Z24" s="16" t="str">
        <f t="shared" si="6"/>
        <v>Y</v>
      </c>
      <c r="AA24" s="16" t="s">
        <v>15</v>
      </c>
      <c r="AB24" s="16" t="s">
        <v>15</v>
      </c>
      <c r="AC24" s="21" t="str">
        <f t="shared" si="7"/>
        <v>Y</v>
      </c>
    </row>
    <row r="25" spans="1:29" hidden="1">
      <c r="A25" s="23">
        <v>61</v>
      </c>
      <c r="B25" s="12">
        <v>0.47862268518518519</v>
      </c>
      <c r="C25" s="12">
        <v>0.47881944444444446</v>
      </c>
      <c r="D25" s="13">
        <v>1.9675925925927151E-4</v>
      </c>
      <c r="E25" s="14">
        <v>17.000000000001059</v>
      </c>
      <c r="F25" s="15">
        <v>1.0588235294116988</v>
      </c>
      <c r="G25" s="16" t="s">
        <v>65</v>
      </c>
      <c r="H25" s="16" t="s">
        <v>19</v>
      </c>
      <c r="I25" s="16">
        <v>18</v>
      </c>
      <c r="J25" s="16" t="s">
        <v>15</v>
      </c>
      <c r="K25" s="16" t="s">
        <v>15</v>
      </c>
      <c r="L25" s="16" t="s">
        <v>15</v>
      </c>
      <c r="M25" s="16" t="s">
        <v>15</v>
      </c>
      <c r="N25" s="16" t="s">
        <v>16</v>
      </c>
      <c r="O25" s="16" t="s">
        <v>17</v>
      </c>
      <c r="P25" s="16"/>
      <c r="Q25" s="16"/>
      <c r="R25" s="16" t="str">
        <f t="shared" si="3"/>
        <v>N</v>
      </c>
      <c r="S25" s="21" t="str">
        <f t="shared" si="8"/>
        <v>N</v>
      </c>
      <c r="T25" s="21" t="str">
        <f t="shared" si="8"/>
        <v>N</v>
      </c>
      <c r="U25" s="21" t="str">
        <f t="shared" si="0"/>
        <v>N</v>
      </c>
      <c r="V25" s="16" t="str">
        <f t="shared" si="4"/>
        <v>N</v>
      </c>
      <c r="W25" s="16" t="s">
        <v>15</v>
      </c>
      <c r="X25" s="16" t="s">
        <v>15</v>
      </c>
      <c r="Y25" s="21" t="str">
        <f t="shared" si="5"/>
        <v>N</v>
      </c>
      <c r="Z25" s="16" t="str">
        <f t="shared" si="6"/>
        <v>N</v>
      </c>
      <c r="AA25" s="16" t="s">
        <v>15</v>
      </c>
      <c r="AB25" s="16" t="s">
        <v>15</v>
      </c>
      <c r="AC25" s="21" t="str">
        <f t="shared" si="7"/>
        <v>N</v>
      </c>
    </row>
    <row r="26" spans="1:29" hidden="1">
      <c r="A26" s="22">
        <v>64</v>
      </c>
      <c r="B26" s="17">
        <v>0.47878472222222218</v>
      </c>
      <c r="C26" s="17">
        <v>0.47892361111111109</v>
      </c>
      <c r="D26" s="18">
        <v>1.388888888889106E-4</v>
      </c>
      <c r="E26" s="19">
        <v>12.000000000001876</v>
      </c>
      <c r="F26" s="20">
        <v>1.4999999999997655</v>
      </c>
      <c r="G26" s="21" t="s">
        <v>68</v>
      </c>
      <c r="H26" s="21" t="s">
        <v>19</v>
      </c>
      <c r="I26" s="21">
        <v>18</v>
      </c>
      <c r="J26" s="21" t="s">
        <v>15</v>
      </c>
      <c r="K26" s="21" t="s">
        <v>15</v>
      </c>
      <c r="L26" s="21" t="s">
        <v>15</v>
      </c>
      <c r="M26" s="21" t="s">
        <v>15</v>
      </c>
      <c r="N26" s="21" t="s">
        <v>15</v>
      </c>
      <c r="O26" s="21" t="s">
        <v>20</v>
      </c>
      <c r="P26" s="21"/>
      <c r="Q26" s="21"/>
      <c r="R26" s="16" t="str">
        <f t="shared" si="3"/>
        <v>N</v>
      </c>
      <c r="S26" s="21" t="str">
        <f t="shared" si="8"/>
        <v>N</v>
      </c>
      <c r="T26" s="21" t="str">
        <f t="shared" si="8"/>
        <v>N</v>
      </c>
      <c r="U26" s="21" t="str">
        <f t="shared" si="0"/>
        <v>N</v>
      </c>
      <c r="V26" s="16" t="str">
        <f t="shared" si="4"/>
        <v>N</v>
      </c>
      <c r="W26" s="16" t="s">
        <v>15</v>
      </c>
      <c r="X26" s="16" t="s">
        <v>15</v>
      </c>
      <c r="Y26" s="21" t="str">
        <f t="shared" si="5"/>
        <v>N</v>
      </c>
      <c r="Z26" s="16" t="str">
        <f t="shared" si="6"/>
        <v>N</v>
      </c>
      <c r="AA26" s="16" t="s">
        <v>15</v>
      </c>
      <c r="AB26" s="16" t="s">
        <v>15</v>
      </c>
      <c r="AC26" s="21" t="str">
        <f t="shared" si="7"/>
        <v>N</v>
      </c>
    </row>
    <row r="27" spans="1:29" hidden="1">
      <c r="A27" s="23">
        <v>65</v>
      </c>
      <c r="B27" s="12">
        <v>0.47880787037037037</v>
      </c>
      <c r="C27" s="12">
        <v>0.47894675925925928</v>
      </c>
      <c r="D27" s="13">
        <v>1.388888888889106E-4</v>
      </c>
      <c r="E27" s="14">
        <v>12.000000000001876</v>
      </c>
      <c r="F27" s="15">
        <v>1.4999999999997655</v>
      </c>
      <c r="G27" s="16" t="s">
        <v>72</v>
      </c>
      <c r="H27" s="16" t="s">
        <v>19</v>
      </c>
      <c r="I27" s="16">
        <v>18</v>
      </c>
      <c r="J27" s="16" t="s">
        <v>15</v>
      </c>
      <c r="K27" s="16" t="s">
        <v>15</v>
      </c>
      <c r="L27" s="16" t="s">
        <v>15</v>
      </c>
      <c r="M27" s="16" t="s">
        <v>15</v>
      </c>
      <c r="N27" s="16" t="s">
        <v>15</v>
      </c>
      <c r="O27" s="16" t="s">
        <v>20</v>
      </c>
      <c r="P27" s="16"/>
      <c r="Q27" s="16"/>
      <c r="R27" s="16" t="str">
        <f t="shared" si="3"/>
        <v>N</v>
      </c>
      <c r="S27" s="21" t="str">
        <f t="shared" si="8"/>
        <v>N</v>
      </c>
      <c r="T27" s="21" t="str">
        <f t="shared" si="8"/>
        <v>N</v>
      </c>
      <c r="U27" s="21" t="str">
        <f t="shared" si="0"/>
        <v>N</v>
      </c>
      <c r="V27" s="16" t="str">
        <f t="shared" si="4"/>
        <v>N</v>
      </c>
      <c r="W27" s="16" t="s">
        <v>15</v>
      </c>
      <c r="X27" s="16" t="s">
        <v>15</v>
      </c>
      <c r="Y27" s="21" t="str">
        <f t="shared" si="5"/>
        <v>N</v>
      </c>
      <c r="Z27" s="16" t="str">
        <f t="shared" si="6"/>
        <v>N</v>
      </c>
      <c r="AA27" s="16" t="s">
        <v>15</v>
      </c>
      <c r="AB27" s="16" t="s">
        <v>15</v>
      </c>
      <c r="AC27" s="21" t="str">
        <f t="shared" si="7"/>
        <v>N</v>
      </c>
    </row>
    <row r="28" spans="1:29" hidden="1">
      <c r="A28" s="22">
        <v>69</v>
      </c>
      <c r="B28" s="17">
        <v>0.47905092592592591</v>
      </c>
      <c r="C28" s="17">
        <v>0.47921296296296295</v>
      </c>
      <c r="D28" s="18">
        <v>1.6203703703704386E-4</v>
      </c>
      <c r="E28" s="19">
        <v>14.00000000000059</v>
      </c>
      <c r="F28" s="20">
        <v>1.2857142857142316</v>
      </c>
      <c r="G28" s="21" t="s">
        <v>74</v>
      </c>
      <c r="H28" s="21" t="s">
        <v>19</v>
      </c>
      <c r="I28" s="21">
        <v>18</v>
      </c>
      <c r="J28" s="21" t="s">
        <v>15</v>
      </c>
      <c r="K28" s="21" t="s">
        <v>15</v>
      </c>
      <c r="L28" s="21" t="s">
        <v>15</v>
      </c>
      <c r="M28" s="21" t="s">
        <v>15</v>
      </c>
      <c r="N28" s="21" t="s">
        <v>15</v>
      </c>
      <c r="O28" s="21" t="s">
        <v>20</v>
      </c>
      <c r="P28" s="21"/>
      <c r="Q28" s="21" t="s">
        <v>209</v>
      </c>
      <c r="R28" s="16" t="str">
        <f t="shared" si="3"/>
        <v>N</v>
      </c>
      <c r="S28" s="21" t="str">
        <f t="shared" si="8"/>
        <v>N</v>
      </c>
      <c r="T28" s="21" t="str">
        <f t="shared" si="8"/>
        <v>N</v>
      </c>
      <c r="U28" s="21" t="str">
        <f t="shared" si="0"/>
        <v>N</v>
      </c>
      <c r="V28" s="16" t="str">
        <f t="shared" si="4"/>
        <v>N</v>
      </c>
      <c r="W28" s="16" t="s">
        <v>15</v>
      </c>
      <c r="X28" s="16" t="s">
        <v>15</v>
      </c>
      <c r="Y28" s="21" t="str">
        <f t="shared" si="5"/>
        <v>N</v>
      </c>
      <c r="Z28" s="16" t="str">
        <f t="shared" si="6"/>
        <v>N</v>
      </c>
      <c r="AA28" s="16" t="s">
        <v>15</v>
      </c>
      <c r="AB28" s="16" t="s">
        <v>15</v>
      </c>
      <c r="AC28" s="21" t="str">
        <f t="shared" si="7"/>
        <v>N</v>
      </c>
    </row>
    <row r="29" spans="1:29" hidden="1">
      <c r="A29" s="23">
        <v>70</v>
      </c>
      <c r="B29" s="12">
        <v>0.4790625</v>
      </c>
      <c r="C29" s="12">
        <v>0.47924768518518518</v>
      </c>
      <c r="D29" s="13">
        <v>1.8518518518517713E-4</v>
      </c>
      <c r="E29" s="14">
        <v>15.999999999999304</v>
      </c>
      <c r="F29" s="15">
        <v>1.1250000000000488</v>
      </c>
      <c r="G29" s="16" t="s">
        <v>73</v>
      </c>
      <c r="H29" s="16" t="s">
        <v>19</v>
      </c>
      <c r="I29" s="16">
        <v>18</v>
      </c>
      <c r="J29" s="16" t="s">
        <v>15</v>
      </c>
      <c r="K29" s="16" t="s">
        <v>15</v>
      </c>
      <c r="L29" s="16" t="s">
        <v>15</v>
      </c>
      <c r="M29" s="16" t="s">
        <v>15</v>
      </c>
      <c r="N29" s="16" t="s">
        <v>16</v>
      </c>
      <c r="O29" s="16" t="s">
        <v>17</v>
      </c>
      <c r="P29" s="16" t="s">
        <v>16</v>
      </c>
      <c r="Q29" s="16">
        <v>71</v>
      </c>
      <c r="R29" s="16" t="str">
        <f t="shared" si="3"/>
        <v>N</v>
      </c>
      <c r="S29" s="21" t="str">
        <f t="shared" si="8"/>
        <v>N</v>
      </c>
      <c r="T29" s="21" t="str">
        <f t="shared" si="8"/>
        <v>N</v>
      </c>
      <c r="U29" s="21" t="str">
        <f t="shared" si="0"/>
        <v>N</v>
      </c>
      <c r="V29" s="16" t="str">
        <f t="shared" si="4"/>
        <v>N</v>
      </c>
      <c r="W29" s="16" t="s">
        <v>15</v>
      </c>
      <c r="X29" s="16" t="s">
        <v>15</v>
      </c>
      <c r="Y29" s="21" t="str">
        <f t="shared" si="5"/>
        <v>N</v>
      </c>
      <c r="Z29" s="16" t="str">
        <f t="shared" si="6"/>
        <v>N</v>
      </c>
      <c r="AA29" s="16" t="s">
        <v>15</v>
      </c>
      <c r="AB29" s="16" t="s">
        <v>15</v>
      </c>
      <c r="AC29" s="21" t="str">
        <f t="shared" si="7"/>
        <v>N</v>
      </c>
    </row>
    <row r="30" spans="1:29" hidden="1">
      <c r="A30" s="22">
        <v>71</v>
      </c>
      <c r="B30" s="17">
        <v>0.47908564814814819</v>
      </c>
      <c r="C30" s="17">
        <v>0.47927083333333331</v>
      </c>
      <c r="D30" s="18">
        <v>1.8518518518512161E-4</v>
      </c>
      <c r="E30" s="19">
        <v>15.999999999994508</v>
      </c>
      <c r="F30" s="20">
        <v>1.1250000000003861</v>
      </c>
      <c r="G30" s="21" t="s">
        <v>76</v>
      </c>
      <c r="H30" s="21" t="s">
        <v>19</v>
      </c>
      <c r="I30" s="21">
        <v>18</v>
      </c>
      <c r="J30" s="21" t="s">
        <v>15</v>
      </c>
      <c r="K30" s="21" t="s">
        <v>16</v>
      </c>
      <c r="L30" s="21" t="s">
        <v>16</v>
      </c>
      <c r="M30" s="21" t="s">
        <v>15</v>
      </c>
      <c r="N30" s="21" t="s">
        <v>16</v>
      </c>
      <c r="O30" s="21" t="s">
        <v>20</v>
      </c>
      <c r="P30" s="21" t="s">
        <v>16</v>
      </c>
      <c r="Q30" s="21"/>
      <c r="R30" s="16" t="str">
        <f t="shared" si="3"/>
        <v>N</v>
      </c>
      <c r="S30" s="21" t="str">
        <f t="shared" si="8"/>
        <v>N</v>
      </c>
      <c r="T30" s="21" t="str">
        <f t="shared" si="8"/>
        <v>N</v>
      </c>
      <c r="U30" s="21" t="str">
        <f t="shared" si="0"/>
        <v>N</v>
      </c>
      <c r="V30" s="16" t="str">
        <f t="shared" si="4"/>
        <v>N</v>
      </c>
      <c r="W30" s="16" t="s">
        <v>15</v>
      </c>
      <c r="X30" s="16" t="s">
        <v>15</v>
      </c>
      <c r="Y30" s="21" t="str">
        <f t="shared" si="5"/>
        <v>N</v>
      </c>
      <c r="Z30" s="16" t="str">
        <f t="shared" si="6"/>
        <v>N</v>
      </c>
      <c r="AA30" s="16" t="s">
        <v>15</v>
      </c>
      <c r="AB30" s="16" t="s">
        <v>15</v>
      </c>
      <c r="AC30" s="21" t="str">
        <f t="shared" si="7"/>
        <v>N</v>
      </c>
    </row>
    <row r="31" spans="1:29" hidden="1">
      <c r="A31" s="23">
        <v>81</v>
      </c>
      <c r="B31" s="12">
        <v>0.47967592592592595</v>
      </c>
      <c r="C31" s="12">
        <v>0.47983796296296299</v>
      </c>
      <c r="D31" s="13">
        <v>1.6203703703704386E-4</v>
      </c>
      <c r="E31" s="14">
        <v>14.00000000000059</v>
      </c>
      <c r="F31" s="15">
        <v>1.2857142857142316</v>
      </c>
      <c r="G31" s="16" t="s">
        <v>85</v>
      </c>
      <c r="H31" s="16" t="s">
        <v>19</v>
      </c>
      <c r="I31" s="16">
        <v>18</v>
      </c>
      <c r="J31" s="16" t="s">
        <v>15</v>
      </c>
      <c r="K31" s="16" t="s">
        <v>15</v>
      </c>
      <c r="L31" s="16" t="s">
        <v>15</v>
      </c>
      <c r="M31" s="16" t="s">
        <v>15</v>
      </c>
      <c r="N31" s="16" t="s">
        <v>16</v>
      </c>
      <c r="O31" s="16" t="s">
        <v>51</v>
      </c>
      <c r="P31" s="16"/>
      <c r="Q31" s="16"/>
      <c r="R31" s="16" t="str">
        <f t="shared" si="3"/>
        <v>Y</v>
      </c>
      <c r="S31" s="21" t="str">
        <f t="shared" si="8"/>
        <v>N</v>
      </c>
      <c r="T31" s="21" t="str">
        <f t="shared" si="8"/>
        <v>N</v>
      </c>
      <c r="U31" s="21" t="str">
        <f t="shared" si="0"/>
        <v>Y</v>
      </c>
      <c r="V31" s="16" t="str">
        <f t="shared" si="4"/>
        <v>N</v>
      </c>
      <c r="W31" s="16" t="s">
        <v>15</v>
      </c>
      <c r="X31" s="16" t="s">
        <v>15</v>
      </c>
      <c r="Y31" s="21" t="str">
        <f t="shared" si="5"/>
        <v>N</v>
      </c>
      <c r="Z31" s="16" t="str">
        <f t="shared" si="6"/>
        <v>N</v>
      </c>
      <c r="AA31" s="16" t="s">
        <v>15</v>
      </c>
      <c r="AB31" s="16" t="s">
        <v>15</v>
      </c>
      <c r="AC31" s="21" t="str">
        <f t="shared" si="7"/>
        <v>N</v>
      </c>
    </row>
    <row r="32" spans="1:29" hidden="1">
      <c r="A32" s="22">
        <v>84</v>
      </c>
      <c r="B32" s="17">
        <v>0.47974537037037041</v>
      </c>
      <c r="C32" s="17">
        <v>0.47987268518518517</v>
      </c>
      <c r="D32" s="18">
        <v>1.273148148147607E-4</v>
      </c>
      <c r="E32" s="19">
        <v>10.999999999995325</v>
      </c>
      <c r="F32" s="20">
        <v>1.6363636363643319</v>
      </c>
      <c r="G32" s="21" t="s">
        <v>88</v>
      </c>
      <c r="H32" s="21" t="s">
        <v>19</v>
      </c>
      <c r="I32" s="21">
        <v>18</v>
      </c>
      <c r="J32" s="21" t="s">
        <v>15</v>
      </c>
      <c r="K32" s="21" t="s">
        <v>15</v>
      </c>
      <c r="L32" s="21" t="s">
        <v>15</v>
      </c>
      <c r="M32" s="21" t="s">
        <v>15</v>
      </c>
      <c r="N32" s="21" t="s">
        <v>15</v>
      </c>
      <c r="O32" s="21" t="s">
        <v>17</v>
      </c>
      <c r="P32" s="21"/>
      <c r="Q32" s="21"/>
      <c r="R32" s="16" t="str">
        <f t="shared" si="3"/>
        <v>N</v>
      </c>
      <c r="S32" s="21" t="str">
        <f t="shared" si="8"/>
        <v>Y</v>
      </c>
      <c r="T32" s="21" t="str">
        <f t="shared" si="8"/>
        <v>N</v>
      </c>
      <c r="U32" s="21" t="str">
        <f t="shared" si="0"/>
        <v>Y</v>
      </c>
      <c r="V32" s="16" t="str">
        <f t="shared" si="4"/>
        <v>N</v>
      </c>
      <c r="W32" s="16" t="s">
        <v>15</v>
      </c>
      <c r="X32" s="16" t="s">
        <v>15</v>
      </c>
      <c r="Y32" s="21" t="str">
        <f t="shared" si="5"/>
        <v>N</v>
      </c>
      <c r="Z32" s="16" t="str">
        <f t="shared" si="6"/>
        <v>N</v>
      </c>
      <c r="AA32" s="16" t="s">
        <v>15</v>
      </c>
      <c r="AB32" s="16" t="s">
        <v>15</v>
      </c>
      <c r="AC32" s="21" t="str">
        <f t="shared" si="7"/>
        <v>N</v>
      </c>
    </row>
    <row r="33" spans="1:29" hidden="1">
      <c r="A33" s="23">
        <v>90</v>
      </c>
      <c r="B33" s="12">
        <v>0.47998842592592594</v>
      </c>
      <c r="C33" s="12">
        <v>0.48020833333333335</v>
      </c>
      <c r="D33" s="13">
        <v>2.1990740740740478E-4</v>
      </c>
      <c r="E33" s="14">
        <v>18.999999999999773</v>
      </c>
      <c r="F33" s="15">
        <v>0.94736842105264296</v>
      </c>
      <c r="G33" s="16" t="s">
        <v>97</v>
      </c>
      <c r="H33" s="16" t="s">
        <v>19</v>
      </c>
      <c r="I33" s="16">
        <v>18</v>
      </c>
      <c r="J33" s="16" t="s">
        <v>15</v>
      </c>
      <c r="K33" s="16" t="s">
        <v>15</v>
      </c>
      <c r="L33" s="16" t="s">
        <v>15</v>
      </c>
      <c r="M33" s="16" t="s">
        <v>15</v>
      </c>
      <c r="N33" s="16" t="s">
        <v>15</v>
      </c>
      <c r="O33" s="16" t="s">
        <v>17</v>
      </c>
      <c r="P33" s="16" t="s">
        <v>16</v>
      </c>
      <c r="Q33" s="16"/>
      <c r="R33" s="16" t="str">
        <f t="shared" si="3"/>
        <v>N</v>
      </c>
      <c r="S33" s="21" t="str">
        <f t="shared" si="8"/>
        <v>N</v>
      </c>
      <c r="T33" s="21" t="str">
        <f t="shared" si="8"/>
        <v>Y</v>
      </c>
      <c r="U33" s="21" t="str">
        <f t="shared" si="0"/>
        <v>Y</v>
      </c>
      <c r="V33" s="16" t="str">
        <f t="shared" si="4"/>
        <v>N</v>
      </c>
      <c r="W33" s="16" t="s">
        <v>15</v>
      </c>
      <c r="X33" s="16" t="s">
        <v>15</v>
      </c>
      <c r="Y33" s="21" t="str">
        <f t="shared" si="5"/>
        <v>N</v>
      </c>
      <c r="Z33" s="16" t="str">
        <f t="shared" si="6"/>
        <v>N</v>
      </c>
      <c r="AA33" s="16" t="s">
        <v>15</v>
      </c>
      <c r="AB33" s="16" t="s">
        <v>15</v>
      </c>
      <c r="AC33" s="21" t="str">
        <f t="shared" si="7"/>
        <v>N</v>
      </c>
    </row>
    <row r="34" spans="1:29" hidden="1">
      <c r="A34" s="22">
        <v>92</v>
      </c>
      <c r="B34" s="17">
        <v>0.4800462962962963</v>
      </c>
      <c r="C34" s="17">
        <v>0.48017361111111106</v>
      </c>
      <c r="D34" s="18">
        <v>1.273148148147607E-4</v>
      </c>
      <c r="E34" s="19">
        <v>10.999999999995325</v>
      </c>
      <c r="F34" s="20">
        <v>1.6363636363643319</v>
      </c>
      <c r="G34" s="21" t="s">
        <v>101</v>
      </c>
      <c r="H34" s="21" t="s">
        <v>19</v>
      </c>
      <c r="I34" s="21">
        <v>18</v>
      </c>
      <c r="J34" s="21" t="s">
        <v>15</v>
      </c>
      <c r="K34" s="21" t="s">
        <v>15</v>
      </c>
      <c r="L34" s="21" t="s">
        <v>15</v>
      </c>
      <c r="M34" s="21" t="s">
        <v>15</v>
      </c>
      <c r="N34" s="21" t="s">
        <v>16</v>
      </c>
      <c r="O34" s="21" t="s">
        <v>51</v>
      </c>
      <c r="P34" s="21"/>
      <c r="Q34" s="21" t="s">
        <v>212</v>
      </c>
      <c r="R34" s="16" t="str">
        <f t="shared" si="3"/>
        <v>N</v>
      </c>
      <c r="S34" s="21" t="str">
        <f t="shared" si="8"/>
        <v>N</v>
      </c>
      <c r="T34" s="21" t="str">
        <f t="shared" si="8"/>
        <v>N</v>
      </c>
      <c r="U34" s="21" t="str">
        <f t="shared" si="0"/>
        <v>N</v>
      </c>
      <c r="V34" s="16" t="str">
        <f t="shared" si="4"/>
        <v>N</v>
      </c>
      <c r="W34" s="16" t="s">
        <v>15</v>
      </c>
      <c r="X34" s="16" t="s">
        <v>15</v>
      </c>
      <c r="Y34" s="21" t="str">
        <f t="shared" si="5"/>
        <v>N</v>
      </c>
      <c r="Z34" s="16" t="str">
        <f t="shared" si="6"/>
        <v>N</v>
      </c>
      <c r="AA34" s="16" t="s">
        <v>15</v>
      </c>
      <c r="AB34" s="16" t="s">
        <v>15</v>
      </c>
      <c r="AC34" s="21" t="str">
        <f t="shared" si="7"/>
        <v>N</v>
      </c>
    </row>
    <row r="35" spans="1:29" hidden="1">
      <c r="A35" s="23">
        <v>94</v>
      </c>
      <c r="B35" s="12">
        <v>0.48006944444444444</v>
      </c>
      <c r="C35" s="12">
        <v>0.4802777777777778</v>
      </c>
      <c r="D35" s="13">
        <v>2.083333333333659E-4</v>
      </c>
      <c r="E35" s="14">
        <v>18.000000000002814</v>
      </c>
      <c r="F35" s="15">
        <v>0.99999999999984368</v>
      </c>
      <c r="G35" s="16" t="s">
        <v>102</v>
      </c>
      <c r="H35" s="16" t="s">
        <v>19</v>
      </c>
      <c r="I35" s="16">
        <v>18</v>
      </c>
      <c r="J35" s="16" t="s">
        <v>16</v>
      </c>
      <c r="K35" s="16" t="s">
        <v>15</v>
      </c>
      <c r="L35" s="16" t="s">
        <v>15</v>
      </c>
      <c r="M35" s="16" t="s">
        <v>15</v>
      </c>
      <c r="N35" s="16" t="s">
        <v>15</v>
      </c>
      <c r="O35" s="16" t="s">
        <v>17</v>
      </c>
      <c r="P35" s="16" t="s">
        <v>16</v>
      </c>
      <c r="Q35" s="16"/>
      <c r="R35" s="16" t="str">
        <f t="shared" si="3"/>
        <v>N</v>
      </c>
      <c r="S35" s="21" t="str">
        <f t="shared" si="8"/>
        <v>N</v>
      </c>
      <c r="T35" s="21" t="str">
        <f t="shared" si="8"/>
        <v>N</v>
      </c>
      <c r="U35" s="21" t="str">
        <f t="shared" si="0"/>
        <v>N</v>
      </c>
      <c r="V35" s="16" t="str">
        <f t="shared" si="4"/>
        <v>N</v>
      </c>
      <c r="W35" s="16" t="s">
        <v>15</v>
      </c>
      <c r="X35" s="16" t="s">
        <v>15</v>
      </c>
      <c r="Y35" s="21" t="str">
        <f t="shared" si="5"/>
        <v>N</v>
      </c>
      <c r="Z35" s="16" t="str">
        <f t="shared" si="6"/>
        <v>N</v>
      </c>
      <c r="AA35" s="16" t="s">
        <v>15</v>
      </c>
      <c r="AB35" s="16" t="s">
        <v>15</v>
      </c>
      <c r="AC35" s="21" t="str">
        <f t="shared" si="7"/>
        <v>N</v>
      </c>
    </row>
    <row r="36" spans="1:29">
      <c r="A36" s="22">
        <v>95</v>
      </c>
      <c r="B36" s="17">
        <v>0.48006944444444444</v>
      </c>
      <c r="C36" s="17">
        <v>0.4802777777777778</v>
      </c>
      <c r="D36" s="18">
        <v>2.083333333333659E-4</v>
      </c>
      <c r="E36" s="19">
        <v>18.000000000002814</v>
      </c>
      <c r="F36" s="20">
        <v>0.99999999999984368</v>
      </c>
      <c r="G36" s="21" t="s">
        <v>103</v>
      </c>
      <c r="H36" s="21" t="s">
        <v>19</v>
      </c>
      <c r="I36" s="21">
        <v>18</v>
      </c>
      <c r="J36" s="21" t="s">
        <v>16</v>
      </c>
      <c r="K36" s="21" t="s">
        <v>15</v>
      </c>
      <c r="L36" s="21" t="s">
        <v>15</v>
      </c>
      <c r="M36" s="21" t="s">
        <v>15</v>
      </c>
      <c r="N36" s="21" t="s">
        <v>15</v>
      </c>
      <c r="O36" s="21" t="s">
        <v>17</v>
      </c>
      <c r="P36" s="21" t="s">
        <v>16</v>
      </c>
      <c r="Q36" s="21"/>
      <c r="R36" s="16" t="str">
        <f t="shared" si="3"/>
        <v>N</v>
      </c>
      <c r="S36" s="21" t="str">
        <f t="shared" si="8"/>
        <v>N</v>
      </c>
      <c r="T36" s="21" t="str">
        <f t="shared" si="8"/>
        <v>N</v>
      </c>
      <c r="U36" s="21" t="str">
        <f t="shared" si="0"/>
        <v>N</v>
      </c>
      <c r="V36" s="16" t="str">
        <f t="shared" si="4"/>
        <v>N</v>
      </c>
      <c r="W36" s="16" t="s">
        <v>15</v>
      </c>
      <c r="X36" s="16" t="s">
        <v>15</v>
      </c>
      <c r="Y36" s="21" t="str">
        <f t="shared" si="5"/>
        <v>N</v>
      </c>
      <c r="Z36" s="16" t="str">
        <f t="shared" si="6"/>
        <v>Y</v>
      </c>
      <c r="AA36" s="16" t="s">
        <v>15</v>
      </c>
      <c r="AB36" s="16" t="s">
        <v>15</v>
      </c>
      <c r="AC36" s="21" t="str">
        <f t="shared" si="7"/>
        <v>Y</v>
      </c>
    </row>
    <row r="37" spans="1:29">
      <c r="A37" s="23">
        <v>96</v>
      </c>
      <c r="B37" s="12">
        <v>0.48006944444444444</v>
      </c>
      <c r="C37" s="12">
        <v>0.4802777777777778</v>
      </c>
      <c r="D37" s="13">
        <v>2.083333333333659E-4</v>
      </c>
      <c r="E37" s="14">
        <v>18.000000000002814</v>
      </c>
      <c r="F37" s="15">
        <v>0.99999999999984368</v>
      </c>
      <c r="G37" s="16" t="s">
        <v>104</v>
      </c>
      <c r="H37" s="16" t="s">
        <v>19</v>
      </c>
      <c r="I37" s="16">
        <v>18</v>
      </c>
      <c r="J37" s="16" t="s">
        <v>16</v>
      </c>
      <c r="K37" s="16" t="s">
        <v>15</v>
      </c>
      <c r="L37" s="16" t="s">
        <v>15</v>
      </c>
      <c r="M37" s="16" t="s">
        <v>15</v>
      </c>
      <c r="N37" s="16" t="s">
        <v>15</v>
      </c>
      <c r="O37" s="16" t="s">
        <v>17</v>
      </c>
      <c r="P37" s="16" t="s">
        <v>16</v>
      </c>
      <c r="Q37" s="16"/>
      <c r="R37" s="16" t="str">
        <f t="shared" si="3"/>
        <v>N</v>
      </c>
      <c r="S37" s="21" t="str">
        <f t="shared" si="8"/>
        <v>N</v>
      </c>
      <c r="T37" s="21" t="str">
        <f t="shared" si="8"/>
        <v>N</v>
      </c>
      <c r="U37" s="21" t="str">
        <f t="shared" si="0"/>
        <v>N</v>
      </c>
      <c r="V37" s="16" t="str">
        <f t="shared" si="4"/>
        <v>N</v>
      </c>
      <c r="W37" s="16" t="s">
        <v>15</v>
      </c>
      <c r="X37" s="16" t="s">
        <v>15</v>
      </c>
      <c r="Y37" s="21" t="str">
        <f t="shared" si="5"/>
        <v>N</v>
      </c>
      <c r="Z37" s="16" t="str">
        <f t="shared" si="6"/>
        <v>Y</v>
      </c>
      <c r="AA37" s="16" t="s">
        <v>15</v>
      </c>
      <c r="AB37" s="16" t="s">
        <v>15</v>
      </c>
      <c r="AC37" s="21" t="str">
        <f t="shared" si="7"/>
        <v>Y</v>
      </c>
    </row>
    <row r="38" spans="1:29">
      <c r="A38" s="22">
        <v>100</v>
      </c>
      <c r="B38" s="17">
        <v>0.48025462962962967</v>
      </c>
      <c r="C38" s="17">
        <v>0.48047453703703707</v>
      </c>
      <c r="D38" s="18">
        <v>2.1990740740740478E-4</v>
      </c>
      <c r="E38" s="19">
        <v>18.999999999999773</v>
      </c>
      <c r="F38" s="20">
        <v>0.94736842105264296</v>
      </c>
      <c r="G38" s="21" t="s">
        <v>107</v>
      </c>
      <c r="H38" s="21" t="s">
        <v>19</v>
      </c>
      <c r="I38" s="21">
        <v>18</v>
      </c>
      <c r="J38" s="21" t="s">
        <v>16</v>
      </c>
      <c r="K38" s="21" t="s">
        <v>15</v>
      </c>
      <c r="L38" s="21" t="s">
        <v>15</v>
      </c>
      <c r="M38" s="21" t="s">
        <v>15</v>
      </c>
      <c r="N38" s="21" t="s">
        <v>15</v>
      </c>
      <c r="O38" s="21" t="s">
        <v>17</v>
      </c>
      <c r="P38" s="21"/>
      <c r="Q38" s="21"/>
      <c r="R38" s="16" t="str">
        <f t="shared" si="3"/>
        <v>N</v>
      </c>
      <c r="S38" s="21" t="str">
        <f t="shared" si="8"/>
        <v>N</v>
      </c>
      <c r="T38" s="21" t="str">
        <f t="shared" si="8"/>
        <v>N</v>
      </c>
      <c r="U38" s="21" t="str">
        <f t="shared" si="0"/>
        <v>N</v>
      </c>
      <c r="V38" s="16" t="str">
        <f t="shared" si="4"/>
        <v>N</v>
      </c>
      <c r="W38" s="16" t="s">
        <v>15</v>
      </c>
      <c r="X38" s="16" t="s">
        <v>15</v>
      </c>
      <c r="Y38" s="21" t="str">
        <f t="shared" si="5"/>
        <v>N</v>
      </c>
      <c r="Z38" s="16" t="str">
        <f t="shared" si="6"/>
        <v>Y</v>
      </c>
      <c r="AA38" s="16" t="s">
        <v>15</v>
      </c>
      <c r="AB38" s="16" t="s">
        <v>15</v>
      </c>
      <c r="AC38" s="21" t="str">
        <f t="shared" si="7"/>
        <v>Y</v>
      </c>
    </row>
    <row r="39" spans="1:29">
      <c r="A39" s="23">
        <v>101</v>
      </c>
      <c r="B39" s="12">
        <v>0.48032407407407413</v>
      </c>
      <c r="C39" s="12">
        <v>0.48047453703703707</v>
      </c>
      <c r="D39" s="13">
        <v>1.5046296296294948E-4</v>
      </c>
      <c r="E39" s="14">
        <v>12.999999999998835</v>
      </c>
      <c r="F39" s="15">
        <v>1.3846153846155087</v>
      </c>
      <c r="G39" s="16" t="s">
        <v>108</v>
      </c>
      <c r="H39" s="16" t="s">
        <v>19</v>
      </c>
      <c r="I39" s="16">
        <v>18</v>
      </c>
      <c r="J39" s="16" t="s">
        <v>16</v>
      </c>
      <c r="K39" s="16" t="s">
        <v>15</v>
      </c>
      <c r="L39" s="16" t="s">
        <v>15</v>
      </c>
      <c r="M39" s="16" t="s">
        <v>15</v>
      </c>
      <c r="N39" s="16" t="s">
        <v>15</v>
      </c>
      <c r="O39" s="16" t="s">
        <v>17</v>
      </c>
      <c r="P39" s="16"/>
      <c r="Q39" s="16"/>
      <c r="R39" s="16" t="str">
        <f t="shared" si="3"/>
        <v>N</v>
      </c>
      <c r="S39" s="21" t="str">
        <f t="shared" si="8"/>
        <v>N</v>
      </c>
      <c r="T39" s="21" t="str">
        <f t="shared" si="8"/>
        <v>N</v>
      </c>
      <c r="U39" s="21" t="str">
        <f t="shared" si="0"/>
        <v>N</v>
      </c>
      <c r="V39" s="16" t="str">
        <f t="shared" si="4"/>
        <v>N</v>
      </c>
      <c r="W39" s="16" t="s">
        <v>15</v>
      </c>
      <c r="X39" s="16" t="s">
        <v>15</v>
      </c>
      <c r="Y39" s="21" t="str">
        <f t="shared" si="5"/>
        <v>N</v>
      </c>
      <c r="Z39" s="16" t="str">
        <f t="shared" si="6"/>
        <v>Y</v>
      </c>
      <c r="AA39" s="16" t="s">
        <v>15</v>
      </c>
      <c r="AB39" s="16" t="s">
        <v>15</v>
      </c>
      <c r="AC39" s="21" t="str">
        <f t="shared" si="7"/>
        <v>Y</v>
      </c>
    </row>
    <row r="40" spans="1:29">
      <c r="A40" s="22">
        <v>102</v>
      </c>
      <c r="B40" s="17">
        <v>0.48032407407407413</v>
      </c>
      <c r="C40" s="17">
        <v>0.48050925925925925</v>
      </c>
      <c r="D40" s="18">
        <v>1.8518518518512161E-4</v>
      </c>
      <c r="E40" s="19">
        <v>15.999999999994508</v>
      </c>
      <c r="F40" s="20">
        <v>1.1250000000003861</v>
      </c>
      <c r="G40" s="21" t="s">
        <v>109</v>
      </c>
      <c r="H40" s="21" t="s">
        <v>19</v>
      </c>
      <c r="I40" s="21">
        <v>18</v>
      </c>
      <c r="J40" s="21" t="s">
        <v>15</v>
      </c>
      <c r="K40" s="21" t="s">
        <v>16</v>
      </c>
      <c r="L40" s="21" t="s">
        <v>16</v>
      </c>
      <c r="M40" s="21" t="s">
        <v>15</v>
      </c>
      <c r="N40" s="21" t="s">
        <v>16</v>
      </c>
      <c r="O40" s="21" t="s">
        <v>17</v>
      </c>
      <c r="P40" s="21"/>
      <c r="Q40" s="21"/>
      <c r="R40" s="16" t="str">
        <f t="shared" si="3"/>
        <v>N</v>
      </c>
      <c r="S40" s="21" t="str">
        <f t="shared" si="8"/>
        <v>N</v>
      </c>
      <c r="T40" s="21" t="str">
        <f t="shared" si="8"/>
        <v>N</v>
      </c>
      <c r="U40" s="21" t="str">
        <f t="shared" si="0"/>
        <v>N</v>
      </c>
      <c r="V40" s="16" t="str">
        <f t="shared" si="4"/>
        <v>N</v>
      </c>
      <c r="W40" s="16" t="s">
        <v>15</v>
      </c>
      <c r="X40" s="16" t="s">
        <v>15</v>
      </c>
      <c r="Y40" s="21" t="str">
        <f t="shared" si="5"/>
        <v>N</v>
      </c>
      <c r="Z40" s="16" t="str">
        <f t="shared" si="6"/>
        <v>Y</v>
      </c>
      <c r="AA40" s="16" t="s">
        <v>15</v>
      </c>
      <c r="AB40" s="16" t="s">
        <v>15</v>
      </c>
      <c r="AC40" s="21" t="str">
        <f t="shared" si="7"/>
        <v>Y</v>
      </c>
    </row>
    <row r="41" spans="1:29" hidden="1">
      <c r="A41" s="23">
        <v>114</v>
      </c>
      <c r="B41" s="12">
        <v>0.48090277777777773</v>
      </c>
      <c r="C41" s="12">
        <v>0.48120370370370374</v>
      </c>
      <c r="D41" s="13">
        <v>3.0092592592600997E-4</v>
      </c>
      <c r="E41" s="14">
        <v>26.000000000007262</v>
      </c>
      <c r="F41" s="15">
        <v>0.692307692307499</v>
      </c>
      <c r="G41" s="16" t="s">
        <v>121</v>
      </c>
      <c r="H41" s="16" t="s">
        <v>19</v>
      </c>
      <c r="I41" s="16">
        <v>18</v>
      </c>
      <c r="J41" s="16" t="s">
        <v>16</v>
      </c>
      <c r="K41" s="16" t="s">
        <v>15</v>
      </c>
      <c r="L41" s="16" t="s">
        <v>15</v>
      </c>
      <c r="M41" s="16" t="s">
        <v>15</v>
      </c>
      <c r="N41" s="16" t="s">
        <v>15</v>
      </c>
      <c r="O41" s="16" t="s">
        <v>51</v>
      </c>
      <c r="P41" s="16"/>
      <c r="Q41" s="16"/>
      <c r="R41" s="16" t="str">
        <f t="shared" si="3"/>
        <v>Y</v>
      </c>
      <c r="S41" s="21" t="str">
        <f t="shared" si="8"/>
        <v>N</v>
      </c>
      <c r="T41" s="21" t="str">
        <f t="shared" si="8"/>
        <v>N</v>
      </c>
      <c r="U41" s="21" t="str">
        <f t="shared" si="0"/>
        <v>Y</v>
      </c>
      <c r="V41" s="16" t="str">
        <f t="shared" si="4"/>
        <v>N</v>
      </c>
      <c r="W41" s="16" t="s">
        <v>15</v>
      </c>
      <c r="X41" s="16" t="s">
        <v>15</v>
      </c>
      <c r="Y41" s="21" t="str">
        <f t="shared" si="5"/>
        <v>N</v>
      </c>
      <c r="Z41" s="16" t="str">
        <f t="shared" si="6"/>
        <v>N</v>
      </c>
      <c r="AA41" s="16" t="s">
        <v>15</v>
      </c>
      <c r="AB41" s="16" t="s">
        <v>15</v>
      </c>
      <c r="AC41" s="21" t="str">
        <f t="shared" si="7"/>
        <v>N</v>
      </c>
    </row>
    <row r="42" spans="1:29">
      <c r="A42" s="22">
        <v>115</v>
      </c>
      <c r="B42" s="17">
        <v>0.48100694444444447</v>
      </c>
      <c r="C42" s="17">
        <v>0.48121527777777778</v>
      </c>
      <c r="D42" s="18">
        <v>2.0833333333331039E-4</v>
      </c>
      <c r="E42" s="19">
        <v>17.999999999998018</v>
      </c>
      <c r="F42" s="20">
        <v>1.0000000000001101</v>
      </c>
      <c r="G42" s="21" t="s">
        <v>127</v>
      </c>
      <c r="H42" s="21" t="s">
        <v>19</v>
      </c>
      <c r="I42" s="21">
        <v>18</v>
      </c>
      <c r="J42" s="21" t="s">
        <v>16</v>
      </c>
      <c r="K42" s="21" t="s">
        <v>15</v>
      </c>
      <c r="L42" s="21" t="s">
        <v>15</v>
      </c>
      <c r="M42" s="21" t="s">
        <v>15</v>
      </c>
      <c r="N42" s="21" t="s">
        <v>15</v>
      </c>
      <c r="O42" s="21" t="s">
        <v>51</v>
      </c>
      <c r="P42" s="21"/>
      <c r="Q42" s="21"/>
      <c r="R42" s="16" t="str">
        <f t="shared" si="3"/>
        <v>N</v>
      </c>
      <c r="S42" s="21" t="str">
        <f t="shared" si="8"/>
        <v>Y</v>
      </c>
      <c r="T42" s="21" t="str">
        <f t="shared" si="8"/>
        <v>N</v>
      </c>
      <c r="U42" s="21" t="str">
        <f t="shared" si="0"/>
        <v>Y</v>
      </c>
      <c r="V42" s="16" t="str">
        <f t="shared" si="4"/>
        <v>N</v>
      </c>
      <c r="W42" s="16" t="s">
        <v>15</v>
      </c>
      <c r="X42" s="16" t="s">
        <v>15</v>
      </c>
      <c r="Y42" s="21" t="str">
        <f t="shared" si="5"/>
        <v>N</v>
      </c>
      <c r="Z42" s="16" t="str">
        <f t="shared" si="6"/>
        <v>Y</v>
      </c>
      <c r="AA42" s="16" t="s">
        <v>15</v>
      </c>
      <c r="AB42" s="16" t="s">
        <v>15</v>
      </c>
      <c r="AC42" s="21" t="str">
        <f t="shared" si="7"/>
        <v>Y</v>
      </c>
    </row>
    <row r="43" spans="1:29">
      <c r="A43" s="23">
        <v>116</v>
      </c>
      <c r="B43" s="12">
        <v>0.48101851851851851</v>
      </c>
      <c r="C43" s="12">
        <v>0.48120370370370374</v>
      </c>
      <c r="D43" s="13">
        <v>1.8518518518523264E-4</v>
      </c>
      <c r="E43" s="14">
        <v>16.0000000000041</v>
      </c>
      <c r="F43" s="15">
        <v>1.1249999999997118</v>
      </c>
      <c r="G43" s="16" t="s">
        <v>124</v>
      </c>
      <c r="H43" s="16" t="s">
        <v>19</v>
      </c>
      <c r="I43" s="16">
        <v>18</v>
      </c>
      <c r="J43" s="16" t="s">
        <v>16</v>
      </c>
      <c r="K43" s="16" t="s">
        <v>15</v>
      </c>
      <c r="L43" s="16" t="s">
        <v>15</v>
      </c>
      <c r="M43" s="16" t="s">
        <v>15</v>
      </c>
      <c r="N43" s="16" t="s">
        <v>15</v>
      </c>
      <c r="O43" s="16" t="s">
        <v>51</v>
      </c>
      <c r="P43" s="16"/>
      <c r="Q43" s="16"/>
      <c r="R43" s="16" t="str">
        <f t="shared" si="3"/>
        <v>N</v>
      </c>
      <c r="S43" s="21" t="str">
        <f t="shared" si="8"/>
        <v>N</v>
      </c>
      <c r="T43" s="21" t="str">
        <f t="shared" si="8"/>
        <v>Y</v>
      </c>
      <c r="U43" s="21" t="str">
        <f t="shared" si="0"/>
        <v>Y</v>
      </c>
      <c r="V43" s="16" t="str">
        <f t="shared" si="4"/>
        <v>N</v>
      </c>
      <c r="W43" s="16" t="s">
        <v>15</v>
      </c>
      <c r="X43" s="16" t="s">
        <v>15</v>
      </c>
      <c r="Y43" s="21" t="str">
        <f t="shared" si="5"/>
        <v>N</v>
      </c>
      <c r="Z43" s="16" t="str">
        <f t="shared" si="6"/>
        <v>Y</v>
      </c>
      <c r="AA43" s="16" t="s">
        <v>15</v>
      </c>
      <c r="AB43" s="16" t="s">
        <v>15</v>
      </c>
      <c r="AC43" s="21" t="str">
        <f t="shared" si="7"/>
        <v>Y</v>
      </c>
    </row>
    <row r="44" spans="1:29">
      <c r="A44" s="22">
        <v>121</v>
      </c>
      <c r="B44" s="17">
        <v>0.48106481481481483</v>
      </c>
      <c r="C44" s="17">
        <v>0.48121527777777778</v>
      </c>
      <c r="D44" s="18">
        <v>1.5046296296294948E-4</v>
      </c>
      <c r="E44" s="19">
        <v>12.999999999998835</v>
      </c>
      <c r="F44" s="20">
        <v>1.3846153846155087</v>
      </c>
      <c r="G44" s="21" t="s">
        <v>73</v>
      </c>
      <c r="H44" s="21" t="s">
        <v>19</v>
      </c>
      <c r="I44" s="21">
        <v>18</v>
      </c>
      <c r="J44" s="21" t="s">
        <v>15</v>
      </c>
      <c r="K44" s="21" t="s">
        <v>16</v>
      </c>
      <c r="L44" s="21" t="s">
        <v>16</v>
      </c>
      <c r="M44" s="21" t="s">
        <v>15</v>
      </c>
      <c r="N44" s="21" t="s">
        <v>16</v>
      </c>
      <c r="O44" s="21" t="s">
        <v>17</v>
      </c>
      <c r="P44" s="21"/>
      <c r="Q44" s="21"/>
      <c r="R44" s="16" t="str">
        <f t="shared" si="3"/>
        <v>N</v>
      </c>
      <c r="S44" s="21" t="str">
        <f t="shared" si="8"/>
        <v>N</v>
      </c>
      <c r="T44" s="21" t="str">
        <f t="shared" si="8"/>
        <v>N</v>
      </c>
      <c r="U44" s="21" t="str">
        <f t="shared" si="0"/>
        <v>N</v>
      </c>
      <c r="V44" s="16" t="str">
        <f t="shared" si="4"/>
        <v>N</v>
      </c>
      <c r="W44" s="16" t="s">
        <v>15</v>
      </c>
      <c r="X44" s="16" t="s">
        <v>15</v>
      </c>
      <c r="Y44" s="21" t="str">
        <f t="shared" si="5"/>
        <v>N</v>
      </c>
      <c r="Z44" s="16" t="str">
        <f t="shared" si="6"/>
        <v>Y</v>
      </c>
      <c r="AA44" s="16" t="s">
        <v>15</v>
      </c>
      <c r="AB44" s="16" t="s">
        <v>15</v>
      </c>
      <c r="AC44" s="21" t="str">
        <f t="shared" si="7"/>
        <v>Y</v>
      </c>
    </row>
    <row r="45" spans="1:29" hidden="1">
      <c r="A45" s="23">
        <v>135</v>
      </c>
      <c r="B45" s="12">
        <v>0.48153935185185182</v>
      </c>
      <c r="C45" s="12">
        <v>0.48166666666666669</v>
      </c>
      <c r="D45" s="13">
        <v>1.2731481481487172E-4</v>
      </c>
      <c r="E45" s="14">
        <v>11.000000000004917</v>
      </c>
      <c r="F45" s="15">
        <v>1.6363636363629048</v>
      </c>
      <c r="G45" s="16" t="s">
        <v>140</v>
      </c>
      <c r="H45" s="16" t="s">
        <v>19</v>
      </c>
      <c r="I45" s="16">
        <v>18</v>
      </c>
      <c r="J45" s="16" t="s">
        <v>15</v>
      </c>
      <c r="K45" s="16" t="s">
        <v>15</v>
      </c>
      <c r="L45" s="16" t="s">
        <v>15</v>
      </c>
      <c r="M45" s="16" t="s">
        <v>15</v>
      </c>
      <c r="N45" s="16" t="s">
        <v>16</v>
      </c>
      <c r="O45" s="16" t="s">
        <v>17</v>
      </c>
      <c r="P45" s="16"/>
      <c r="Q45" s="16"/>
      <c r="R45" s="16" t="str">
        <f t="shared" si="3"/>
        <v>Y</v>
      </c>
      <c r="S45" s="21" t="str">
        <f t="shared" si="8"/>
        <v>N</v>
      </c>
      <c r="T45" s="21" t="str">
        <f t="shared" si="8"/>
        <v>N</v>
      </c>
      <c r="U45" s="21" t="str">
        <f t="shared" si="0"/>
        <v>Y</v>
      </c>
      <c r="V45" s="16" t="str">
        <f t="shared" si="4"/>
        <v>N</v>
      </c>
      <c r="W45" s="16" t="s">
        <v>15</v>
      </c>
      <c r="X45" s="16" t="s">
        <v>15</v>
      </c>
      <c r="Y45" s="21" t="str">
        <f t="shared" si="5"/>
        <v>N</v>
      </c>
      <c r="Z45" s="16" t="str">
        <f t="shared" si="6"/>
        <v>N</v>
      </c>
      <c r="AA45" s="16" t="s">
        <v>15</v>
      </c>
      <c r="AB45" s="16" t="s">
        <v>15</v>
      </c>
      <c r="AC45" s="21" t="str">
        <f t="shared" si="7"/>
        <v>N</v>
      </c>
    </row>
    <row r="46" spans="1:29" hidden="1">
      <c r="A46" s="22">
        <v>138</v>
      </c>
      <c r="B46" s="17">
        <v>0.48166666666666669</v>
      </c>
      <c r="C46" s="17">
        <v>0.48181712962962964</v>
      </c>
      <c r="D46" s="18">
        <v>1.5046296296294948E-4</v>
      </c>
      <c r="E46" s="19">
        <v>12.999999999998835</v>
      </c>
      <c r="F46" s="20">
        <v>1.3846153846155087</v>
      </c>
      <c r="G46" s="21" t="s">
        <v>147</v>
      </c>
      <c r="H46" s="21" t="s">
        <v>19</v>
      </c>
      <c r="I46" s="21">
        <v>18</v>
      </c>
      <c r="J46" s="21" t="s">
        <v>15</v>
      </c>
      <c r="K46" s="21" t="s">
        <v>15</v>
      </c>
      <c r="L46" s="21" t="s">
        <v>15</v>
      </c>
      <c r="M46" s="21" t="s">
        <v>15</v>
      </c>
      <c r="N46" s="21" t="s">
        <v>15</v>
      </c>
      <c r="O46" s="21" t="s">
        <v>51</v>
      </c>
      <c r="P46" s="21"/>
      <c r="Q46" s="21"/>
      <c r="R46" s="16" t="str">
        <f t="shared" si="3"/>
        <v>N</v>
      </c>
      <c r="S46" s="21" t="str">
        <f t="shared" si="8"/>
        <v>Y</v>
      </c>
      <c r="T46" s="21" t="str">
        <f t="shared" si="8"/>
        <v>N</v>
      </c>
      <c r="U46" s="21" t="str">
        <f t="shared" si="0"/>
        <v>Y</v>
      </c>
      <c r="V46" s="16" t="str">
        <f t="shared" si="4"/>
        <v>N</v>
      </c>
      <c r="W46" s="16" t="s">
        <v>15</v>
      </c>
      <c r="X46" s="16" t="s">
        <v>15</v>
      </c>
      <c r="Y46" s="21" t="str">
        <f t="shared" si="5"/>
        <v>N</v>
      </c>
      <c r="Z46" s="16" t="str">
        <f t="shared" si="6"/>
        <v>N</v>
      </c>
      <c r="AA46" s="16" t="s">
        <v>15</v>
      </c>
      <c r="AB46" s="16" t="s">
        <v>15</v>
      </c>
      <c r="AC46" s="21" t="str">
        <f t="shared" si="7"/>
        <v>N</v>
      </c>
    </row>
    <row r="47" spans="1:29" hidden="1">
      <c r="A47" s="23">
        <v>146</v>
      </c>
      <c r="B47" s="12">
        <v>0.48185185185185181</v>
      </c>
      <c r="C47" s="12">
        <v>0.48208333333333336</v>
      </c>
      <c r="D47" s="13">
        <v>2.3148148148155467E-4</v>
      </c>
      <c r="E47" s="14">
        <v>20.000000000006324</v>
      </c>
      <c r="F47" s="15">
        <v>0.89999999999971547</v>
      </c>
      <c r="G47" s="16" t="s">
        <v>68</v>
      </c>
      <c r="H47" s="16" t="s">
        <v>19</v>
      </c>
      <c r="I47" s="16">
        <v>18</v>
      </c>
      <c r="J47" s="16" t="s">
        <v>16</v>
      </c>
      <c r="K47" s="16" t="s">
        <v>15</v>
      </c>
      <c r="L47" s="16" t="s">
        <v>15</v>
      </c>
      <c r="M47" s="16" t="s">
        <v>15</v>
      </c>
      <c r="N47" s="16" t="s">
        <v>15</v>
      </c>
      <c r="O47" s="16" t="s">
        <v>51</v>
      </c>
      <c r="P47" s="16" t="s">
        <v>16</v>
      </c>
      <c r="Q47" s="16"/>
      <c r="R47" s="16" t="str">
        <f t="shared" si="3"/>
        <v>N</v>
      </c>
      <c r="S47" s="21" t="str">
        <f t="shared" si="8"/>
        <v>N</v>
      </c>
      <c r="T47" s="21" t="str">
        <f t="shared" si="8"/>
        <v>Y</v>
      </c>
      <c r="U47" s="21" t="str">
        <f t="shared" si="0"/>
        <v>Y</v>
      </c>
      <c r="V47" s="16" t="str">
        <f t="shared" si="4"/>
        <v>N</v>
      </c>
      <c r="W47" s="16" t="s">
        <v>15</v>
      </c>
      <c r="X47" s="16" t="s">
        <v>15</v>
      </c>
      <c r="Y47" s="21" t="str">
        <f t="shared" si="5"/>
        <v>N</v>
      </c>
      <c r="Z47" s="16" t="str">
        <f t="shared" si="6"/>
        <v>N</v>
      </c>
      <c r="AA47" s="16" t="s">
        <v>15</v>
      </c>
      <c r="AB47" s="16" t="s">
        <v>15</v>
      </c>
      <c r="AC47" s="21" t="str">
        <f t="shared" si="7"/>
        <v>N</v>
      </c>
    </row>
    <row r="48" spans="1:29">
      <c r="A48" s="22">
        <v>148</v>
      </c>
      <c r="B48" s="17">
        <v>0.48188657407407409</v>
      </c>
      <c r="C48" s="17">
        <v>0.48203703703703704</v>
      </c>
      <c r="D48" s="18">
        <v>1.5046296296294948E-4</v>
      </c>
      <c r="E48" s="19">
        <v>12.999999999998835</v>
      </c>
      <c r="F48" s="20">
        <v>1.3846153846155087</v>
      </c>
      <c r="G48" s="21" t="s">
        <v>84</v>
      </c>
      <c r="H48" s="21" t="s">
        <v>19</v>
      </c>
      <c r="I48" s="21">
        <v>18</v>
      </c>
      <c r="J48" s="21" t="s">
        <v>16</v>
      </c>
      <c r="K48" s="21" t="s">
        <v>15</v>
      </c>
      <c r="L48" s="21" t="s">
        <v>15</v>
      </c>
      <c r="M48" s="21" t="s">
        <v>15</v>
      </c>
      <c r="N48" s="21" t="s">
        <v>15</v>
      </c>
      <c r="O48" s="21" t="s">
        <v>17</v>
      </c>
      <c r="P48" s="21"/>
      <c r="Q48" s="21"/>
      <c r="R48" s="16" t="str">
        <f t="shared" si="3"/>
        <v>N</v>
      </c>
      <c r="S48" s="21" t="str">
        <f t="shared" si="8"/>
        <v>N</v>
      </c>
      <c r="T48" s="21" t="str">
        <f t="shared" si="8"/>
        <v>N</v>
      </c>
      <c r="U48" s="21" t="str">
        <f t="shared" si="0"/>
        <v>N</v>
      </c>
      <c r="V48" s="16" t="str">
        <f t="shared" si="4"/>
        <v>N</v>
      </c>
      <c r="W48" s="16" t="s">
        <v>15</v>
      </c>
      <c r="X48" s="16" t="s">
        <v>15</v>
      </c>
      <c r="Y48" s="21" t="str">
        <f t="shared" si="5"/>
        <v>N</v>
      </c>
      <c r="Z48" s="16" t="str">
        <f t="shared" si="6"/>
        <v>Y</v>
      </c>
      <c r="AA48" s="16" t="s">
        <v>15</v>
      </c>
      <c r="AB48" s="16" t="s">
        <v>15</v>
      </c>
      <c r="AC48" s="21" t="str">
        <f t="shared" si="7"/>
        <v>Y</v>
      </c>
    </row>
    <row r="49" spans="1:29">
      <c r="A49" s="23">
        <v>149</v>
      </c>
      <c r="B49" s="12">
        <v>0.48189814814814813</v>
      </c>
      <c r="C49" s="12">
        <v>0.48481481481481481</v>
      </c>
      <c r="D49" s="13">
        <v>2.9166666666666785E-3</v>
      </c>
      <c r="E49" s="14">
        <v>252.00000000000102</v>
      </c>
      <c r="F49" s="15">
        <v>7.1428571428571133E-2</v>
      </c>
      <c r="G49" s="16" t="s">
        <v>150</v>
      </c>
      <c r="H49" s="16" t="s">
        <v>19</v>
      </c>
      <c r="I49" s="16">
        <v>18</v>
      </c>
      <c r="J49" s="16" t="s">
        <v>16</v>
      </c>
      <c r="K49" s="16" t="s">
        <v>15</v>
      </c>
      <c r="L49" s="16" t="s">
        <v>15</v>
      </c>
      <c r="M49" s="16" t="s">
        <v>15</v>
      </c>
      <c r="N49" s="16" t="s">
        <v>16</v>
      </c>
      <c r="O49" s="16" t="s">
        <v>17</v>
      </c>
      <c r="P49" s="16"/>
      <c r="Q49" s="16"/>
      <c r="R49" s="16" t="str">
        <f t="shared" si="3"/>
        <v>N</v>
      </c>
      <c r="S49" s="21" t="str">
        <f t="shared" si="8"/>
        <v>N</v>
      </c>
      <c r="T49" s="21" t="str">
        <f t="shared" si="8"/>
        <v>N</v>
      </c>
      <c r="U49" s="21" t="str">
        <f t="shared" si="0"/>
        <v>N</v>
      </c>
      <c r="V49" s="16" t="str">
        <f t="shared" si="4"/>
        <v>N</v>
      </c>
      <c r="W49" s="16" t="s">
        <v>15</v>
      </c>
      <c r="X49" s="16" t="s">
        <v>15</v>
      </c>
      <c r="Y49" s="21" t="str">
        <f t="shared" si="5"/>
        <v>N</v>
      </c>
      <c r="Z49" s="16" t="str">
        <f t="shared" si="6"/>
        <v>Y</v>
      </c>
      <c r="AA49" s="16" t="s">
        <v>15</v>
      </c>
      <c r="AB49" s="16" t="s">
        <v>15</v>
      </c>
      <c r="AC49" s="21" t="str">
        <f t="shared" si="7"/>
        <v>Y</v>
      </c>
    </row>
    <row r="50" spans="1:29">
      <c r="A50" s="22">
        <v>150</v>
      </c>
      <c r="B50" s="17">
        <v>0.48190972222222223</v>
      </c>
      <c r="C50" s="17">
        <v>0.48208333333333336</v>
      </c>
      <c r="D50" s="18">
        <v>1.7361111111113825E-4</v>
      </c>
      <c r="E50" s="19">
        <v>15.000000000002345</v>
      </c>
      <c r="F50" s="20">
        <v>1.1999999999998123</v>
      </c>
      <c r="G50" s="21" t="s">
        <v>152</v>
      </c>
      <c r="H50" s="21" t="s">
        <v>19</v>
      </c>
      <c r="I50" s="21">
        <v>18</v>
      </c>
      <c r="J50" s="21" t="s">
        <v>16</v>
      </c>
      <c r="K50" s="21" t="s">
        <v>15</v>
      </c>
      <c r="L50" s="21" t="s">
        <v>15</v>
      </c>
      <c r="M50" s="21" t="s">
        <v>15</v>
      </c>
      <c r="N50" s="21" t="s">
        <v>15</v>
      </c>
      <c r="O50" s="21" t="s">
        <v>17</v>
      </c>
      <c r="P50" s="21" t="s">
        <v>16</v>
      </c>
      <c r="Q50" s="21"/>
      <c r="R50" s="16" t="str">
        <f t="shared" si="3"/>
        <v>N</v>
      </c>
      <c r="S50" s="21" t="str">
        <f t="shared" si="8"/>
        <v>N</v>
      </c>
      <c r="T50" s="21" t="str">
        <f t="shared" si="8"/>
        <v>N</v>
      </c>
      <c r="U50" s="21" t="str">
        <f t="shared" si="0"/>
        <v>N</v>
      </c>
      <c r="V50" s="16" t="str">
        <f t="shared" si="4"/>
        <v>N</v>
      </c>
      <c r="W50" s="16" t="s">
        <v>15</v>
      </c>
      <c r="X50" s="16" t="s">
        <v>15</v>
      </c>
      <c r="Y50" s="21" t="str">
        <f t="shared" si="5"/>
        <v>N</v>
      </c>
      <c r="Z50" s="16" t="str">
        <f t="shared" si="6"/>
        <v>Y</v>
      </c>
      <c r="AA50" s="16" t="s">
        <v>15</v>
      </c>
      <c r="AB50" s="16" t="s">
        <v>15</v>
      </c>
      <c r="AC50" s="21" t="str">
        <f t="shared" si="7"/>
        <v>Y</v>
      </c>
    </row>
    <row r="51" spans="1:29">
      <c r="A51" s="23">
        <v>151</v>
      </c>
      <c r="B51" s="12">
        <v>0.48192129629629626</v>
      </c>
      <c r="C51" s="12">
        <v>0.48204861111111108</v>
      </c>
      <c r="D51" s="13">
        <v>1.2731481481481621E-4</v>
      </c>
      <c r="E51" s="14">
        <v>11.000000000000121</v>
      </c>
      <c r="F51" s="15">
        <v>1.6363636363636185</v>
      </c>
      <c r="G51" s="16" t="s">
        <v>151</v>
      </c>
      <c r="H51" s="16" t="s">
        <v>19</v>
      </c>
      <c r="I51" s="16">
        <v>18</v>
      </c>
      <c r="J51" s="16" t="s">
        <v>15</v>
      </c>
      <c r="K51" s="16" t="s">
        <v>15</v>
      </c>
      <c r="L51" s="16" t="s">
        <v>15</v>
      </c>
      <c r="M51" s="16" t="s">
        <v>15</v>
      </c>
      <c r="N51" s="16" t="s">
        <v>15</v>
      </c>
      <c r="O51" s="16" t="s">
        <v>51</v>
      </c>
      <c r="P51" s="16"/>
      <c r="Q51" s="16" t="s">
        <v>203</v>
      </c>
      <c r="R51" s="16" t="str">
        <f t="shared" si="3"/>
        <v>N</v>
      </c>
      <c r="S51" s="21" t="str">
        <f t="shared" si="8"/>
        <v>N</v>
      </c>
      <c r="T51" s="21" t="str">
        <f t="shared" si="8"/>
        <v>N</v>
      </c>
      <c r="U51" s="21" t="str">
        <f t="shared" si="0"/>
        <v>N</v>
      </c>
      <c r="V51" s="16" t="str">
        <f t="shared" si="4"/>
        <v>N</v>
      </c>
      <c r="W51" s="16" t="s">
        <v>15</v>
      </c>
      <c r="X51" s="16" t="s">
        <v>15</v>
      </c>
      <c r="Y51" s="21" t="str">
        <f t="shared" si="5"/>
        <v>N</v>
      </c>
      <c r="Z51" s="16" t="str">
        <f t="shared" si="6"/>
        <v>Y</v>
      </c>
      <c r="AA51" s="16" t="s">
        <v>15</v>
      </c>
      <c r="AB51" s="16" t="s">
        <v>15</v>
      </c>
      <c r="AC51" s="21" t="str">
        <f t="shared" si="7"/>
        <v>Y</v>
      </c>
    </row>
    <row r="52" spans="1:29" hidden="1">
      <c r="A52" s="22">
        <v>152</v>
      </c>
      <c r="B52" s="17">
        <v>0.48193287037037041</v>
      </c>
      <c r="C52" s="17">
        <v>0.48208333333333336</v>
      </c>
      <c r="D52" s="18">
        <v>1.5046296296294948E-4</v>
      </c>
      <c r="E52" s="19">
        <v>12.999999999998835</v>
      </c>
      <c r="F52" s="20">
        <v>1.3846153846155087</v>
      </c>
      <c r="G52" s="21" t="s">
        <v>153</v>
      </c>
      <c r="H52" s="21" t="s">
        <v>19</v>
      </c>
      <c r="I52" s="21">
        <v>18</v>
      </c>
      <c r="J52" s="21" t="s">
        <v>16</v>
      </c>
      <c r="K52" s="21" t="s">
        <v>16</v>
      </c>
      <c r="L52" s="21" t="s">
        <v>16</v>
      </c>
      <c r="M52" s="21" t="s">
        <v>15</v>
      </c>
      <c r="N52" s="21" t="s">
        <v>16</v>
      </c>
      <c r="O52" s="21" t="s">
        <v>17</v>
      </c>
      <c r="P52" s="21"/>
      <c r="Q52" s="21"/>
      <c r="R52" s="16" t="str">
        <f t="shared" si="3"/>
        <v>N</v>
      </c>
      <c r="S52" s="21" t="str">
        <f t="shared" si="8"/>
        <v>N</v>
      </c>
      <c r="T52" s="21" t="str">
        <f t="shared" si="8"/>
        <v>N</v>
      </c>
      <c r="U52" s="21" t="str">
        <f t="shared" si="0"/>
        <v>N</v>
      </c>
      <c r="V52" s="16" t="str">
        <f t="shared" si="4"/>
        <v>N</v>
      </c>
      <c r="W52" s="16" t="s">
        <v>15</v>
      </c>
      <c r="X52" s="16" t="s">
        <v>15</v>
      </c>
      <c r="Y52" s="21" t="str">
        <f t="shared" si="5"/>
        <v>N</v>
      </c>
      <c r="Z52" s="16" t="str">
        <f t="shared" si="6"/>
        <v>N</v>
      </c>
      <c r="AA52" s="16" t="s">
        <v>15</v>
      </c>
      <c r="AB52" s="16" t="s">
        <v>15</v>
      </c>
      <c r="AC52" s="21" t="str">
        <f t="shared" si="7"/>
        <v>N</v>
      </c>
    </row>
    <row r="53" spans="1:29">
      <c r="A53" s="23">
        <v>153</v>
      </c>
      <c r="B53" s="12">
        <v>0.48194444444444445</v>
      </c>
      <c r="C53" s="12">
        <v>0.4820949074074074</v>
      </c>
      <c r="D53" s="13">
        <v>1.5046296296294948E-4</v>
      </c>
      <c r="E53" s="14">
        <v>12.999999999998835</v>
      </c>
      <c r="F53" s="15">
        <v>1.3846153846155087</v>
      </c>
      <c r="G53" s="16" t="s">
        <v>154</v>
      </c>
      <c r="H53" s="16" t="s">
        <v>19</v>
      </c>
      <c r="I53" s="16">
        <v>18</v>
      </c>
      <c r="J53" s="16" t="s">
        <v>16</v>
      </c>
      <c r="K53" s="16" t="s">
        <v>15</v>
      </c>
      <c r="L53" s="16" t="s">
        <v>15</v>
      </c>
      <c r="M53" s="16" t="s">
        <v>15</v>
      </c>
      <c r="N53" s="16" t="s">
        <v>15</v>
      </c>
      <c r="O53" s="16" t="s">
        <v>17</v>
      </c>
      <c r="P53" s="16"/>
      <c r="Q53" s="16"/>
      <c r="R53" s="16" t="str">
        <f t="shared" si="3"/>
        <v>Y</v>
      </c>
      <c r="S53" s="21" t="str">
        <f t="shared" si="8"/>
        <v>N</v>
      </c>
      <c r="T53" s="21" t="str">
        <f t="shared" si="8"/>
        <v>N</v>
      </c>
      <c r="U53" s="21" t="str">
        <f t="shared" si="0"/>
        <v>Y</v>
      </c>
      <c r="V53" s="16" t="str">
        <f t="shared" si="4"/>
        <v>N</v>
      </c>
      <c r="W53" s="16" t="s">
        <v>15</v>
      </c>
      <c r="X53" s="16" t="s">
        <v>15</v>
      </c>
      <c r="Y53" s="21" t="str">
        <f t="shared" si="5"/>
        <v>N</v>
      </c>
      <c r="Z53" s="16" t="str">
        <f t="shared" si="6"/>
        <v>Y</v>
      </c>
      <c r="AA53" s="16" t="s">
        <v>15</v>
      </c>
      <c r="AB53" s="16" t="s">
        <v>15</v>
      </c>
      <c r="AC53" s="21" t="str">
        <f t="shared" si="7"/>
        <v>Y</v>
      </c>
    </row>
    <row r="54" spans="1:29">
      <c r="A54" s="22">
        <v>155</v>
      </c>
      <c r="B54" s="17">
        <v>0.48204861111111108</v>
      </c>
      <c r="C54" s="17">
        <v>0.48217592592592595</v>
      </c>
      <c r="D54" s="18">
        <v>1.2731481481487172E-4</v>
      </c>
      <c r="E54" s="19">
        <v>11.000000000004917</v>
      </c>
      <c r="F54" s="20">
        <v>1.6363636363629048</v>
      </c>
      <c r="G54" s="21" t="s">
        <v>156</v>
      </c>
      <c r="H54" s="21" t="s">
        <v>19</v>
      </c>
      <c r="I54" s="21">
        <v>18</v>
      </c>
      <c r="J54" s="21" t="s">
        <v>15</v>
      </c>
      <c r="K54" s="21" t="s">
        <v>15</v>
      </c>
      <c r="L54" s="21" t="s">
        <v>15</v>
      </c>
      <c r="M54" s="21" t="s">
        <v>15</v>
      </c>
      <c r="N54" s="21" t="s">
        <v>15</v>
      </c>
      <c r="O54" s="21" t="s">
        <v>17</v>
      </c>
      <c r="P54" s="21"/>
      <c r="Q54" s="21"/>
      <c r="R54" s="16" t="str">
        <f t="shared" si="3"/>
        <v>N</v>
      </c>
      <c r="S54" s="21" t="str">
        <f t="shared" si="8"/>
        <v>Y</v>
      </c>
      <c r="T54" s="21" t="str">
        <f t="shared" si="8"/>
        <v>N</v>
      </c>
      <c r="U54" s="21" t="str">
        <f t="shared" si="0"/>
        <v>Y</v>
      </c>
      <c r="V54" s="16" t="str">
        <f t="shared" si="4"/>
        <v>N</v>
      </c>
      <c r="W54" s="16" t="s">
        <v>15</v>
      </c>
      <c r="X54" s="16" t="s">
        <v>15</v>
      </c>
      <c r="Y54" s="21" t="str">
        <f t="shared" si="5"/>
        <v>N</v>
      </c>
      <c r="Z54" s="16" t="str">
        <f t="shared" si="6"/>
        <v>Y</v>
      </c>
      <c r="AA54" s="16" t="s">
        <v>15</v>
      </c>
      <c r="AB54" s="16" t="s">
        <v>15</v>
      </c>
      <c r="AC54" s="21" t="str">
        <f t="shared" si="7"/>
        <v>Y</v>
      </c>
    </row>
    <row r="55" spans="1:29" hidden="1">
      <c r="A55" s="23">
        <v>156</v>
      </c>
      <c r="B55" s="12">
        <v>0.48214120370370367</v>
      </c>
      <c r="C55" s="12">
        <v>0.48237268518518522</v>
      </c>
      <c r="D55" s="13">
        <v>2.3148148148155467E-4</v>
      </c>
      <c r="E55" s="14">
        <v>20.000000000006324</v>
      </c>
      <c r="F55" s="15">
        <v>0.89999999999971547</v>
      </c>
      <c r="G55" s="16" t="s">
        <v>160</v>
      </c>
      <c r="H55" s="16" t="s">
        <v>19</v>
      </c>
      <c r="I55" s="16">
        <v>18</v>
      </c>
      <c r="J55" s="16" t="s">
        <v>16</v>
      </c>
      <c r="K55" s="16" t="s">
        <v>15</v>
      </c>
      <c r="L55" s="16" t="s">
        <v>15</v>
      </c>
      <c r="M55" s="16" t="s">
        <v>15</v>
      </c>
      <c r="N55" s="16" t="s">
        <v>15</v>
      </c>
      <c r="O55" s="16" t="s">
        <v>17</v>
      </c>
      <c r="P55" s="16"/>
      <c r="Q55" s="16"/>
      <c r="R55" s="16" t="str">
        <f t="shared" si="3"/>
        <v>N</v>
      </c>
      <c r="S55" s="21" t="str">
        <f t="shared" si="8"/>
        <v>N</v>
      </c>
      <c r="T55" s="21" t="str">
        <f t="shared" si="8"/>
        <v>Y</v>
      </c>
      <c r="U55" s="21" t="str">
        <f t="shared" si="0"/>
        <v>Y</v>
      </c>
      <c r="V55" s="16" t="str">
        <f t="shared" si="4"/>
        <v>N</v>
      </c>
      <c r="W55" s="16" t="s">
        <v>15</v>
      </c>
      <c r="X55" s="16" t="s">
        <v>15</v>
      </c>
      <c r="Y55" s="21" t="str">
        <f t="shared" si="5"/>
        <v>N</v>
      </c>
      <c r="Z55" s="16" t="str">
        <f t="shared" si="6"/>
        <v>N</v>
      </c>
      <c r="AA55" s="16" t="s">
        <v>15</v>
      </c>
      <c r="AB55" s="16" t="s">
        <v>15</v>
      </c>
      <c r="AC55" s="21" t="str">
        <f t="shared" si="7"/>
        <v>N</v>
      </c>
    </row>
    <row r="56" spans="1:29">
      <c r="A56" s="22">
        <v>157</v>
      </c>
      <c r="B56" s="17">
        <v>0.48216435185185186</v>
      </c>
      <c r="C56" s="17">
        <v>0.4824074074074074</v>
      </c>
      <c r="D56" s="18">
        <v>2.4305555555553804E-4</v>
      </c>
      <c r="E56" s="19">
        <v>20.999999999998487</v>
      </c>
      <c r="F56" s="20">
        <v>0.85714285714291893</v>
      </c>
      <c r="G56" s="21" t="s">
        <v>161</v>
      </c>
      <c r="H56" s="21" t="s">
        <v>19</v>
      </c>
      <c r="I56" s="21">
        <v>18</v>
      </c>
      <c r="J56" s="21" t="s">
        <v>15</v>
      </c>
      <c r="K56" s="21" t="s">
        <v>15</v>
      </c>
      <c r="L56" s="21" t="s">
        <v>15</v>
      </c>
      <c r="M56" s="21" t="s">
        <v>15</v>
      </c>
      <c r="N56" s="21" t="s">
        <v>15</v>
      </c>
      <c r="O56" s="21" t="s">
        <v>51</v>
      </c>
      <c r="P56" s="21"/>
      <c r="Q56" s="21"/>
      <c r="R56" s="16" t="str">
        <f t="shared" si="3"/>
        <v>N</v>
      </c>
      <c r="S56" s="21" t="str">
        <f t="shared" si="8"/>
        <v>N</v>
      </c>
      <c r="T56" s="21" t="str">
        <f t="shared" si="8"/>
        <v>N</v>
      </c>
      <c r="U56" s="21" t="str">
        <f t="shared" si="0"/>
        <v>N</v>
      </c>
      <c r="V56" s="16" t="str">
        <f t="shared" si="4"/>
        <v>N</v>
      </c>
      <c r="W56" s="16" t="s">
        <v>15</v>
      </c>
      <c r="X56" s="16" t="s">
        <v>15</v>
      </c>
      <c r="Y56" s="21" t="str">
        <f t="shared" si="5"/>
        <v>N</v>
      </c>
      <c r="Z56" s="16" t="str">
        <f t="shared" si="6"/>
        <v>Y</v>
      </c>
      <c r="AA56" s="16" t="s">
        <v>15</v>
      </c>
      <c r="AB56" s="16" t="s">
        <v>15</v>
      </c>
      <c r="AC56" s="21" t="str">
        <f t="shared" si="7"/>
        <v>Y</v>
      </c>
    </row>
    <row r="57" spans="1:29" hidden="1">
      <c r="A57" s="23">
        <v>158</v>
      </c>
      <c r="B57" s="12">
        <v>0.48218749999999999</v>
      </c>
      <c r="C57" s="12">
        <v>0.48237268518518522</v>
      </c>
      <c r="D57" s="13">
        <v>1.8518518518523264E-4</v>
      </c>
      <c r="E57" s="14">
        <v>16.0000000000041</v>
      </c>
      <c r="F57" s="15">
        <v>1.1249999999997118</v>
      </c>
      <c r="G57" s="16" t="s">
        <v>97</v>
      </c>
      <c r="H57" s="16" t="s">
        <v>19</v>
      </c>
      <c r="I57" s="16">
        <v>18</v>
      </c>
      <c r="J57" s="16" t="s">
        <v>16</v>
      </c>
      <c r="K57" s="16" t="s">
        <v>15</v>
      </c>
      <c r="L57" s="16" t="s">
        <v>15</v>
      </c>
      <c r="M57" s="16" t="s">
        <v>15</v>
      </c>
      <c r="N57" s="16" t="s">
        <v>15</v>
      </c>
      <c r="O57" s="16" t="s">
        <v>17</v>
      </c>
      <c r="P57" s="16"/>
      <c r="Q57" s="16"/>
      <c r="R57" s="16" t="str">
        <f t="shared" si="3"/>
        <v>N</v>
      </c>
      <c r="S57" s="21" t="str">
        <f t="shared" si="8"/>
        <v>N</v>
      </c>
      <c r="T57" s="21" t="str">
        <f t="shared" si="8"/>
        <v>N</v>
      </c>
      <c r="U57" s="21" t="str">
        <f t="shared" si="0"/>
        <v>N</v>
      </c>
      <c r="V57" s="16" t="str">
        <f t="shared" si="4"/>
        <v>N</v>
      </c>
      <c r="W57" s="16" t="s">
        <v>15</v>
      </c>
      <c r="X57" s="16" t="s">
        <v>15</v>
      </c>
      <c r="Y57" s="21" t="str">
        <f t="shared" si="5"/>
        <v>N</v>
      </c>
      <c r="Z57" s="16" t="str">
        <f t="shared" si="6"/>
        <v>N</v>
      </c>
      <c r="AA57" s="16" t="s">
        <v>15</v>
      </c>
      <c r="AB57" s="16" t="s">
        <v>15</v>
      </c>
      <c r="AC57" s="21" t="str">
        <f t="shared" si="7"/>
        <v>N</v>
      </c>
    </row>
    <row r="58" spans="1:29">
      <c r="A58" s="22">
        <v>162</v>
      </c>
      <c r="B58" s="17">
        <v>0.48231481481481481</v>
      </c>
      <c r="C58" s="17">
        <v>0.48245370370370372</v>
      </c>
      <c r="D58" s="18">
        <v>1.388888888889106E-4</v>
      </c>
      <c r="E58" s="19">
        <v>12.000000000001876</v>
      </c>
      <c r="F58" s="20">
        <v>1.4999999999997655</v>
      </c>
      <c r="G58" s="21" t="s">
        <v>163</v>
      </c>
      <c r="H58" s="21" t="s">
        <v>19</v>
      </c>
      <c r="I58" s="21">
        <v>18</v>
      </c>
      <c r="J58" s="21" t="s">
        <v>15</v>
      </c>
      <c r="K58" s="21" t="s">
        <v>16</v>
      </c>
      <c r="L58" s="21" t="s">
        <v>16</v>
      </c>
      <c r="M58" s="21" t="s">
        <v>15</v>
      </c>
      <c r="N58" s="21" t="s">
        <v>16</v>
      </c>
      <c r="O58" s="21" t="s">
        <v>51</v>
      </c>
      <c r="P58" s="21"/>
      <c r="Q58" s="21"/>
      <c r="R58" s="16" t="str">
        <f t="shared" si="3"/>
        <v>N</v>
      </c>
      <c r="S58" s="21" t="str">
        <f t="shared" si="8"/>
        <v>N</v>
      </c>
      <c r="T58" s="21" t="str">
        <f t="shared" si="8"/>
        <v>N</v>
      </c>
      <c r="U58" s="21" t="str">
        <f t="shared" si="0"/>
        <v>N</v>
      </c>
      <c r="V58" s="16" t="str">
        <f t="shared" si="4"/>
        <v>N</v>
      </c>
      <c r="W58" s="16" t="s">
        <v>15</v>
      </c>
      <c r="X58" s="16" t="s">
        <v>15</v>
      </c>
      <c r="Y58" s="21" t="str">
        <f t="shared" si="5"/>
        <v>N</v>
      </c>
      <c r="Z58" s="16" t="str">
        <f t="shared" si="6"/>
        <v>Y</v>
      </c>
      <c r="AA58" s="16" t="s">
        <v>15</v>
      </c>
      <c r="AB58" s="16" t="s">
        <v>15</v>
      </c>
      <c r="AC58" s="21" t="str">
        <f t="shared" si="7"/>
        <v>Y</v>
      </c>
    </row>
    <row r="59" spans="1:29" hidden="1">
      <c r="A59" s="23">
        <v>166</v>
      </c>
      <c r="B59" s="12">
        <v>0.48243055555555553</v>
      </c>
      <c r="C59" s="12">
        <v>0.48268518518518522</v>
      </c>
      <c r="D59" s="13">
        <v>2.5462962962968794E-4</v>
      </c>
      <c r="E59" s="14">
        <v>22.000000000005038</v>
      </c>
      <c r="F59" s="15">
        <v>0.81818181818163083</v>
      </c>
      <c r="G59" s="16" t="s">
        <v>166</v>
      </c>
      <c r="H59" s="16" t="s">
        <v>19</v>
      </c>
      <c r="I59" s="16">
        <v>18</v>
      </c>
      <c r="J59" s="16" t="s">
        <v>15</v>
      </c>
      <c r="K59" s="16" t="s">
        <v>15</v>
      </c>
      <c r="L59" s="16" t="s">
        <v>15</v>
      </c>
      <c r="M59" s="16" t="s">
        <v>15</v>
      </c>
      <c r="N59" s="16" t="s">
        <v>15</v>
      </c>
      <c r="O59" s="16" t="s">
        <v>51</v>
      </c>
      <c r="P59" s="16"/>
      <c r="Q59" s="16" t="s">
        <v>202</v>
      </c>
      <c r="R59" s="16" t="str">
        <f t="shared" si="3"/>
        <v>Y</v>
      </c>
      <c r="S59" s="21" t="str">
        <f t="shared" si="8"/>
        <v>N</v>
      </c>
      <c r="T59" s="21" t="str">
        <f t="shared" si="8"/>
        <v>N</v>
      </c>
      <c r="U59" s="21" t="str">
        <f t="shared" si="0"/>
        <v>Y</v>
      </c>
      <c r="V59" s="16" t="str">
        <f t="shared" si="4"/>
        <v>N</v>
      </c>
      <c r="W59" s="16" t="s">
        <v>15</v>
      </c>
      <c r="X59" s="16" t="s">
        <v>15</v>
      </c>
      <c r="Y59" s="21" t="str">
        <f t="shared" si="5"/>
        <v>N</v>
      </c>
      <c r="Z59" s="16" t="str">
        <f t="shared" si="6"/>
        <v>N</v>
      </c>
      <c r="AA59" s="16" t="s">
        <v>15</v>
      </c>
      <c r="AB59" s="16" t="s">
        <v>15</v>
      </c>
      <c r="AC59" s="21" t="str">
        <f t="shared" si="7"/>
        <v>N</v>
      </c>
    </row>
    <row r="60" spans="1:29" hidden="1">
      <c r="A60" s="22">
        <v>167</v>
      </c>
      <c r="B60" s="17">
        <v>0.48249999999999998</v>
      </c>
      <c r="C60" s="17">
        <v>0.48270833333333335</v>
      </c>
      <c r="D60" s="18">
        <v>2.083333333333659E-4</v>
      </c>
      <c r="E60" s="19">
        <v>18.000000000002814</v>
      </c>
      <c r="F60" s="20">
        <v>0.99999999999984368</v>
      </c>
      <c r="G60" s="21" t="s">
        <v>167</v>
      </c>
      <c r="H60" s="21" t="s">
        <v>19</v>
      </c>
      <c r="I60" s="21">
        <v>18</v>
      </c>
      <c r="J60" s="21" t="s">
        <v>15</v>
      </c>
      <c r="K60" s="21" t="s">
        <v>16</v>
      </c>
      <c r="L60" s="21" t="s">
        <v>16</v>
      </c>
      <c r="M60" s="21" t="s">
        <v>15</v>
      </c>
      <c r="N60" s="21" t="s">
        <v>16</v>
      </c>
      <c r="O60" s="21" t="s">
        <v>17</v>
      </c>
      <c r="P60" s="21"/>
      <c r="Q60" s="21" t="s">
        <v>202</v>
      </c>
      <c r="R60" s="16" t="str">
        <f t="shared" si="3"/>
        <v>N</v>
      </c>
      <c r="S60" s="21" t="str">
        <f t="shared" si="8"/>
        <v>Y</v>
      </c>
      <c r="T60" s="21" t="str">
        <f t="shared" si="8"/>
        <v>N</v>
      </c>
      <c r="U60" s="21" t="str">
        <f t="shared" si="0"/>
        <v>Y</v>
      </c>
      <c r="V60" s="16" t="str">
        <f t="shared" si="4"/>
        <v>N</v>
      </c>
      <c r="W60" s="16" t="s">
        <v>15</v>
      </c>
      <c r="X60" s="16" t="s">
        <v>15</v>
      </c>
      <c r="Y60" s="21" t="str">
        <f t="shared" si="5"/>
        <v>N</v>
      </c>
      <c r="Z60" s="16" t="str">
        <f t="shared" si="6"/>
        <v>N</v>
      </c>
      <c r="AA60" s="16" t="s">
        <v>15</v>
      </c>
      <c r="AB60" s="16" t="s">
        <v>15</v>
      </c>
      <c r="AC60" s="21" t="str">
        <f t="shared" si="7"/>
        <v>N</v>
      </c>
    </row>
    <row r="61" spans="1:29" hidden="1">
      <c r="A61" s="23">
        <v>168</v>
      </c>
      <c r="B61" s="12">
        <v>0.48249999999999998</v>
      </c>
      <c r="C61" s="12">
        <v>0.48275462962962962</v>
      </c>
      <c r="D61" s="13">
        <v>2.5462962962963243E-4</v>
      </c>
      <c r="E61" s="14">
        <v>22.000000000000242</v>
      </c>
      <c r="F61" s="15">
        <v>0.81818181818180924</v>
      </c>
      <c r="G61" s="16" t="s">
        <v>171</v>
      </c>
      <c r="H61" s="16" t="s">
        <v>19</v>
      </c>
      <c r="I61" s="16">
        <v>18</v>
      </c>
      <c r="J61" s="16" t="s">
        <v>16</v>
      </c>
      <c r="K61" s="16" t="s">
        <v>15</v>
      </c>
      <c r="L61" s="16" t="s">
        <v>15</v>
      </c>
      <c r="M61" s="16" t="s">
        <v>15</v>
      </c>
      <c r="N61" s="16" t="s">
        <v>15</v>
      </c>
      <c r="O61" s="16" t="s">
        <v>17</v>
      </c>
      <c r="P61" s="16" t="s">
        <v>16</v>
      </c>
      <c r="Q61" s="16"/>
      <c r="R61" s="16" t="str">
        <f t="shared" si="3"/>
        <v>Y</v>
      </c>
      <c r="S61" s="21" t="str">
        <f t="shared" si="8"/>
        <v>N</v>
      </c>
      <c r="T61" s="21" t="str">
        <f t="shared" si="8"/>
        <v>Y</v>
      </c>
      <c r="U61" s="21" t="str">
        <f t="shared" si="0"/>
        <v>Y</v>
      </c>
      <c r="V61" s="16" t="str">
        <f t="shared" si="4"/>
        <v>N</v>
      </c>
      <c r="W61" s="16" t="s">
        <v>15</v>
      </c>
      <c r="X61" s="16" t="s">
        <v>15</v>
      </c>
      <c r="Y61" s="21" t="str">
        <f t="shared" si="5"/>
        <v>N</v>
      </c>
      <c r="Z61" s="16" t="str">
        <f t="shared" si="6"/>
        <v>N</v>
      </c>
      <c r="AA61" s="16" t="s">
        <v>15</v>
      </c>
      <c r="AB61" s="16" t="s">
        <v>15</v>
      </c>
      <c r="AC61" s="21" t="str">
        <f t="shared" si="7"/>
        <v>N</v>
      </c>
    </row>
    <row r="62" spans="1:29">
      <c r="A62" s="22">
        <v>170</v>
      </c>
      <c r="B62" s="17">
        <v>0.48258101851851848</v>
      </c>
      <c r="C62" s="17">
        <v>0.48275462962962962</v>
      </c>
      <c r="D62" s="18">
        <v>1.7361111111113825E-4</v>
      </c>
      <c r="E62" s="19">
        <v>15.000000000002345</v>
      </c>
      <c r="F62" s="20">
        <v>1.1999999999998123</v>
      </c>
      <c r="G62" s="21" t="s">
        <v>172</v>
      </c>
      <c r="H62" s="21" t="s">
        <v>19</v>
      </c>
      <c r="I62" s="21">
        <v>18</v>
      </c>
      <c r="J62" s="21" t="s">
        <v>16</v>
      </c>
      <c r="K62" s="21" t="s">
        <v>15</v>
      </c>
      <c r="L62" s="21" t="s">
        <v>15</v>
      </c>
      <c r="M62" s="21" t="s">
        <v>15</v>
      </c>
      <c r="N62" s="21" t="s">
        <v>15</v>
      </c>
      <c r="O62" s="21" t="s">
        <v>51</v>
      </c>
      <c r="P62" s="21" t="s">
        <v>16</v>
      </c>
      <c r="Q62" s="21"/>
      <c r="R62" s="16" t="str">
        <f t="shared" si="3"/>
        <v>N</v>
      </c>
      <c r="S62" s="21" t="str">
        <f t="shared" si="8"/>
        <v>Y</v>
      </c>
      <c r="T62" s="21" t="str">
        <f t="shared" si="8"/>
        <v>N</v>
      </c>
      <c r="U62" s="21" t="str">
        <f t="shared" si="0"/>
        <v>Y</v>
      </c>
      <c r="V62" s="16" t="str">
        <f t="shared" si="4"/>
        <v>N</v>
      </c>
      <c r="W62" s="16" t="s">
        <v>15</v>
      </c>
      <c r="X62" s="16" t="s">
        <v>15</v>
      </c>
      <c r="Y62" s="21" t="str">
        <f t="shared" si="5"/>
        <v>N</v>
      </c>
      <c r="Z62" s="16" t="str">
        <f t="shared" si="6"/>
        <v>Y</v>
      </c>
      <c r="AA62" s="16" t="s">
        <v>15</v>
      </c>
      <c r="AB62" s="16" t="s">
        <v>15</v>
      </c>
      <c r="AC62" s="21" t="str">
        <f t="shared" si="7"/>
        <v>Y</v>
      </c>
    </row>
    <row r="63" spans="1:29">
      <c r="A63" s="23">
        <v>173</v>
      </c>
      <c r="B63" s="12">
        <v>0.48268518518518522</v>
      </c>
      <c r="C63" s="12">
        <v>0.48280092592592588</v>
      </c>
      <c r="D63" s="13">
        <v>1.1574074074066631E-4</v>
      </c>
      <c r="E63" s="14">
        <v>9.9999999999935696</v>
      </c>
      <c r="F63" s="15">
        <v>1.8000000000011576</v>
      </c>
      <c r="G63" s="16" t="s">
        <v>173</v>
      </c>
      <c r="H63" s="16" t="s">
        <v>19</v>
      </c>
      <c r="I63" s="16">
        <v>18</v>
      </c>
      <c r="J63" s="16" t="s">
        <v>15</v>
      </c>
      <c r="K63" s="16" t="s">
        <v>15</v>
      </c>
      <c r="L63" s="16" t="s">
        <v>15</v>
      </c>
      <c r="M63" s="16" t="s">
        <v>15</v>
      </c>
      <c r="N63" s="16" t="s">
        <v>15</v>
      </c>
      <c r="O63" s="16" t="s">
        <v>51</v>
      </c>
      <c r="P63" s="16"/>
      <c r="Q63" s="16"/>
      <c r="R63" s="16" t="str">
        <f t="shared" si="3"/>
        <v>N</v>
      </c>
      <c r="S63" s="21" t="str">
        <f t="shared" si="8"/>
        <v>N</v>
      </c>
      <c r="T63" s="21" t="str">
        <f t="shared" si="8"/>
        <v>Y</v>
      </c>
      <c r="U63" s="21" t="str">
        <f t="shared" si="0"/>
        <v>Y</v>
      </c>
      <c r="V63" s="16" t="str">
        <f t="shared" si="4"/>
        <v>N</v>
      </c>
      <c r="W63" s="16" t="s">
        <v>15</v>
      </c>
      <c r="X63" s="16" t="s">
        <v>15</v>
      </c>
      <c r="Y63" s="21" t="str">
        <f t="shared" si="5"/>
        <v>N</v>
      </c>
      <c r="Z63" s="16" t="str">
        <f t="shared" si="6"/>
        <v>Y</v>
      </c>
      <c r="AA63" s="16" t="s">
        <v>15</v>
      </c>
      <c r="AB63" s="16" t="s">
        <v>15</v>
      </c>
      <c r="AC63" s="21" t="str">
        <f t="shared" si="7"/>
        <v>Y</v>
      </c>
    </row>
    <row r="64" spans="1:29" hidden="1">
      <c r="A64" s="22">
        <v>175</v>
      </c>
      <c r="B64" s="17">
        <v>0.48280092592592588</v>
      </c>
      <c r="C64" s="17">
        <v>0.48296296296296298</v>
      </c>
      <c r="D64" s="18">
        <v>1.6203703703709937E-4</v>
      </c>
      <c r="E64" s="19">
        <v>14.000000000005386</v>
      </c>
      <c r="F64" s="20">
        <v>1.2857142857137911</v>
      </c>
      <c r="G64" s="21" t="s">
        <v>176</v>
      </c>
      <c r="H64" s="21" t="s">
        <v>19</v>
      </c>
      <c r="I64" s="21">
        <v>18</v>
      </c>
      <c r="J64" s="21" t="s">
        <v>15</v>
      </c>
      <c r="K64" s="21" t="s">
        <v>15</v>
      </c>
      <c r="L64" s="21" t="s">
        <v>15</v>
      </c>
      <c r="M64" s="21" t="s">
        <v>15</v>
      </c>
      <c r="N64" s="21" t="s">
        <v>15</v>
      </c>
      <c r="O64" s="21" t="s">
        <v>17</v>
      </c>
      <c r="P64" s="21"/>
      <c r="Q64" s="21"/>
      <c r="R64" s="16" t="str">
        <f t="shared" si="3"/>
        <v>N</v>
      </c>
      <c r="S64" s="21" t="str">
        <f t="shared" si="8"/>
        <v>N</v>
      </c>
      <c r="T64" s="21" t="str">
        <f t="shared" si="8"/>
        <v>N</v>
      </c>
      <c r="U64" s="21" t="str">
        <f t="shared" si="0"/>
        <v>N</v>
      </c>
      <c r="V64" s="16" t="str">
        <f t="shared" si="4"/>
        <v>N</v>
      </c>
      <c r="W64" s="16" t="s">
        <v>15</v>
      </c>
      <c r="X64" s="16" t="s">
        <v>15</v>
      </c>
      <c r="Y64" s="21" t="str">
        <f t="shared" si="5"/>
        <v>N</v>
      </c>
      <c r="Z64" s="16" t="str">
        <f t="shared" si="6"/>
        <v>N</v>
      </c>
      <c r="AA64" s="16" t="s">
        <v>15</v>
      </c>
      <c r="AB64" s="16" t="s">
        <v>15</v>
      </c>
      <c r="AC64" s="21" t="str">
        <f t="shared" si="7"/>
        <v>N</v>
      </c>
    </row>
    <row r="65" spans="1:29" hidden="1">
      <c r="A65" s="23">
        <v>176</v>
      </c>
      <c r="B65" s="12">
        <v>0.48284722222222221</v>
      </c>
      <c r="C65" s="12">
        <v>0.4830787037037037</v>
      </c>
      <c r="D65" s="13">
        <v>2.3148148148149916E-4</v>
      </c>
      <c r="E65" s="14">
        <v>20.000000000001528</v>
      </c>
      <c r="F65" s="15">
        <v>0.8999999999999313</v>
      </c>
      <c r="G65" s="16" t="s">
        <v>179</v>
      </c>
      <c r="H65" s="16" t="s">
        <v>19</v>
      </c>
      <c r="I65" s="16">
        <v>18</v>
      </c>
      <c r="J65" s="16" t="s">
        <v>16</v>
      </c>
      <c r="K65" s="16" t="s">
        <v>15</v>
      </c>
      <c r="L65" s="16" t="s">
        <v>15</v>
      </c>
      <c r="M65" s="16" t="s">
        <v>15</v>
      </c>
      <c r="N65" s="16" t="s">
        <v>16</v>
      </c>
      <c r="O65" s="16" t="s">
        <v>17</v>
      </c>
      <c r="P65" s="16"/>
      <c r="Q65" s="16"/>
      <c r="R65" s="16" t="str">
        <f t="shared" si="3"/>
        <v>N</v>
      </c>
      <c r="S65" s="21" t="str">
        <f t="shared" si="8"/>
        <v>N</v>
      </c>
      <c r="T65" s="21" t="str">
        <f t="shared" si="8"/>
        <v>N</v>
      </c>
      <c r="U65" s="21" t="str">
        <f t="shared" si="0"/>
        <v>N</v>
      </c>
      <c r="V65" s="16" t="str">
        <f t="shared" si="4"/>
        <v>N</v>
      </c>
      <c r="W65" s="16" t="s">
        <v>15</v>
      </c>
      <c r="X65" s="16" t="s">
        <v>15</v>
      </c>
      <c r="Y65" s="21" t="str">
        <f t="shared" si="5"/>
        <v>N</v>
      </c>
      <c r="Z65" s="16" t="str">
        <f t="shared" si="6"/>
        <v>N</v>
      </c>
      <c r="AA65" s="16" t="s">
        <v>15</v>
      </c>
      <c r="AB65" s="16" t="s">
        <v>15</v>
      </c>
      <c r="AC65" s="21" t="str">
        <f t="shared" si="7"/>
        <v>N</v>
      </c>
    </row>
    <row r="66" spans="1:29">
      <c r="A66" s="22">
        <v>177</v>
      </c>
      <c r="B66" s="17">
        <v>0.4828587962962963</v>
      </c>
      <c r="C66" s="17">
        <v>0.4830787037037037</v>
      </c>
      <c r="D66" s="18">
        <v>2.1990740740740478E-4</v>
      </c>
      <c r="E66" s="19">
        <v>18.999999999999773</v>
      </c>
      <c r="F66" s="20">
        <v>0.94736842105264296</v>
      </c>
      <c r="G66" s="21" t="s">
        <v>180</v>
      </c>
      <c r="H66" s="21" t="s">
        <v>19</v>
      </c>
      <c r="I66" s="21">
        <v>18</v>
      </c>
      <c r="J66" s="21" t="s">
        <v>16</v>
      </c>
      <c r="K66" s="21" t="s">
        <v>15</v>
      </c>
      <c r="L66" s="21" t="s">
        <v>15</v>
      </c>
      <c r="M66" s="21" t="s">
        <v>15</v>
      </c>
      <c r="N66" s="21" t="s">
        <v>15</v>
      </c>
      <c r="O66" s="21" t="s">
        <v>51</v>
      </c>
      <c r="P66" s="21"/>
      <c r="Q66" s="21"/>
      <c r="R66" s="16" t="str">
        <f t="shared" si="3"/>
        <v>N</v>
      </c>
      <c r="S66" s="21" t="str">
        <f t="shared" si="8"/>
        <v>N</v>
      </c>
      <c r="T66" s="21" t="str">
        <f t="shared" si="8"/>
        <v>N</v>
      </c>
      <c r="U66" s="21" t="str">
        <f t="shared" si="0"/>
        <v>N</v>
      </c>
      <c r="V66" s="16" t="str">
        <f t="shared" si="4"/>
        <v>N</v>
      </c>
      <c r="W66" s="16" t="s">
        <v>15</v>
      </c>
      <c r="X66" s="16" t="s">
        <v>15</v>
      </c>
      <c r="Y66" s="21" t="str">
        <f t="shared" si="5"/>
        <v>N</v>
      </c>
      <c r="Z66" s="16" t="str">
        <f t="shared" si="6"/>
        <v>Y</v>
      </c>
      <c r="AA66" s="16" t="s">
        <v>15</v>
      </c>
      <c r="AB66" s="16" t="s">
        <v>15</v>
      </c>
      <c r="AC66" s="21" t="str">
        <f t="shared" si="7"/>
        <v>Y</v>
      </c>
    </row>
    <row r="67" spans="1:29">
      <c r="A67" s="23">
        <v>179</v>
      </c>
      <c r="B67" s="12">
        <v>0.48293981481481479</v>
      </c>
      <c r="C67" s="12">
        <v>0.48311342592592593</v>
      </c>
      <c r="D67" s="13">
        <v>1.7361111111113825E-4</v>
      </c>
      <c r="E67" s="14">
        <v>15.000000000002345</v>
      </c>
      <c r="F67" s="15">
        <v>1.1999999999998123</v>
      </c>
      <c r="G67" s="16" t="s">
        <v>181</v>
      </c>
      <c r="H67" s="16" t="s">
        <v>19</v>
      </c>
      <c r="I67" s="16">
        <v>18</v>
      </c>
      <c r="J67" s="16" t="s">
        <v>15</v>
      </c>
      <c r="K67" s="16" t="s">
        <v>15</v>
      </c>
      <c r="L67" s="16" t="s">
        <v>15</v>
      </c>
      <c r="M67" s="16" t="s">
        <v>15</v>
      </c>
      <c r="N67" s="16" t="s">
        <v>16</v>
      </c>
      <c r="O67" s="16" t="s">
        <v>51</v>
      </c>
      <c r="P67" s="16"/>
      <c r="Q67" s="16"/>
      <c r="R67" s="16" t="str">
        <f t="shared" si="3"/>
        <v>N</v>
      </c>
      <c r="S67" s="21" t="str">
        <f t="shared" si="8"/>
        <v>N</v>
      </c>
      <c r="T67" s="21" t="str">
        <f t="shared" si="8"/>
        <v>N</v>
      </c>
      <c r="U67" s="21" t="str">
        <f t="shared" ref="U67" si="9">IF(R67="N",IF(S67="N",IF(T67="N","N","Y"),"Y"),"Y")</f>
        <v>N</v>
      </c>
      <c r="V67" s="16" t="str">
        <f t="shared" si="4"/>
        <v>N</v>
      </c>
      <c r="W67" s="16" t="s">
        <v>15</v>
      </c>
      <c r="X67" s="16" t="s">
        <v>15</v>
      </c>
      <c r="Y67" s="21" t="str">
        <f t="shared" si="5"/>
        <v>N</v>
      </c>
      <c r="Z67" s="16" t="str">
        <f t="shared" si="6"/>
        <v>Y</v>
      </c>
      <c r="AA67" s="16" t="s">
        <v>15</v>
      </c>
      <c r="AB67" s="16" t="s">
        <v>15</v>
      </c>
      <c r="AC67" s="21" t="str">
        <f t="shared" si="7"/>
        <v>Y</v>
      </c>
    </row>
    <row r="68" spans="1:29" hidden="1">
      <c r="A68" s="3" t="s">
        <v>52</v>
      </c>
      <c r="B68" s="5"/>
      <c r="C68" s="5"/>
      <c r="D68" s="3"/>
      <c r="E68" s="8" t="s">
        <v>256</v>
      </c>
      <c r="F68" s="4">
        <f>SUBTOTAL(101,F2:F67)</f>
        <v>1.2175605770748403</v>
      </c>
      <c r="G68" s="3"/>
      <c r="H68" s="3"/>
      <c r="I68" s="3"/>
      <c r="J68" s="3">
        <f>COUNTIF(ORIG[in group?], "Y")</f>
        <v>51</v>
      </c>
      <c r="K68" s="3">
        <f>COUNTIF(ORIG[using phone?], "Y")</f>
        <v>31</v>
      </c>
      <c r="L68" s="3">
        <f>COUNTIF(ORIG[texting], "Y")</f>
        <v>27</v>
      </c>
      <c r="M68" s="3">
        <f>COUNTIF(ORIG[calling], "Y")</f>
        <v>4</v>
      </c>
      <c r="N68" s="3">
        <f>COUNTIF(ORIG[holding phone], "Y")</f>
        <v>58</v>
      </c>
      <c r="O68" s="3">
        <f>SUBTOTAL(103,ORIG[Gender])</f>
        <v>114</v>
      </c>
      <c r="P68" s="3">
        <f>SUBTOTAL(103,ORIG[Overtaken])</f>
        <v>21</v>
      </c>
      <c r="Q68" s="3">
        <f>SUBTOTAL(103,ORIG[Overtakes])</f>
        <v>13</v>
      </c>
      <c r="R68" s="3"/>
      <c r="S68" s="3"/>
      <c r="T68" s="3"/>
      <c r="U68" s="3"/>
      <c r="V68" s="3"/>
      <c r="Z68" s="16" t="s">
        <v>15</v>
      </c>
      <c r="AA68" s="16" t="s">
        <v>15</v>
      </c>
      <c r="AB68" s="16" t="s">
        <v>15</v>
      </c>
      <c r="AC68" s="21" t="s">
        <v>15</v>
      </c>
    </row>
    <row r="69" spans="1:29" hidden="1">
      <c r="E69" t="s">
        <v>257</v>
      </c>
      <c r="F69" s="4">
        <f>SUBTOTAL(101,F2:F67)</f>
        <v>1.2175605770748403</v>
      </c>
    </row>
    <row r="100" spans="5:6">
      <c r="E100" t="s">
        <v>258</v>
      </c>
      <c r="F100" s="4">
        <f>SUBTOTAL(102,F2:F67)</f>
        <v>26</v>
      </c>
    </row>
    <row r="101" spans="5:6">
      <c r="E101" t="s">
        <v>256</v>
      </c>
      <c r="F101" s="4">
        <f>SUBTOTAL(101,F2:F67)</f>
        <v>1.2175605770748403</v>
      </c>
    </row>
    <row r="102" spans="5:6">
      <c r="E102" t="s">
        <v>257</v>
      </c>
      <c r="F102" s="4">
        <f>SUBTOTAL(107,F2:F67)</f>
        <v>0.34107302254838923</v>
      </c>
    </row>
  </sheetData>
  <autoFilter ref="A1:AC68" xr:uid="{DFA5BEAB-CC8C-BF49-8A03-27BE6444AF29}">
    <filterColumn colId="28">
      <filters>
        <filter val="Y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C3ED-0670-C443-924B-D71ED5828536}">
  <sheetPr filterMode="1"/>
  <dimension ref="A1:AF122"/>
  <sheetViews>
    <sheetView topLeftCell="A83" workbookViewId="0">
      <selection activeCell="AD73" sqref="AD73"/>
    </sheetView>
  </sheetViews>
  <sheetFormatPr baseColWidth="10" defaultRowHeight="16"/>
  <sheetData>
    <row r="1" spans="1:32">
      <c r="A1" s="3" t="s">
        <v>0</v>
      </c>
      <c r="B1" s="3" t="s">
        <v>1</v>
      </c>
      <c r="C1" s="3" t="s">
        <v>2</v>
      </c>
      <c r="D1" s="4" t="s">
        <v>182</v>
      </c>
      <c r="E1" s="4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201</v>
      </c>
      <c r="Q1" s="3" t="s">
        <v>200</v>
      </c>
      <c r="R1" s="3" t="s">
        <v>251</v>
      </c>
      <c r="S1" s="3" t="s">
        <v>252</v>
      </c>
      <c r="T1" s="3" t="s">
        <v>253</v>
      </c>
      <c r="U1" s="3" t="s">
        <v>254</v>
      </c>
      <c r="V1" s="3" t="s">
        <v>259</v>
      </c>
      <c r="W1" s="3" t="s">
        <v>252</v>
      </c>
      <c r="X1" s="3" t="s">
        <v>253</v>
      </c>
      <c r="Y1" s="3" t="s">
        <v>254</v>
      </c>
      <c r="Z1" s="3" t="s">
        <v>250</v>
      </c>
      <c r="AA1" s="3" t="s">
        <v>252</v>
      </c>
      <c r="AB1" s="3" t="s">
        <v>253</v>
      </c>
      <c r="AC1" s="3" t="s">
        <v>254</v>
      </c>
      <c r="AE1">
        <v>24</v>
      </c>
      <c r="AF1">
        <v>18</v>
      </c>
    </row>
    <row r="2" spans="1:32" hidden="1">
      <c r="A2" s="22">
        <v>1</v>
      </c>
      <c r="B2" s="17">
        <v>0.4758101851851852</v>
      </c>
      <c r="C2" s="17">
        <v>0.47600694444444441</v>
      </c>
      <c r="D2" s="18">
        <v>1.96759259259216E-4</v>
      </c>
      <c r="E2" s="19">
        <v>16.999999999996263</v>
      </c>
      <c r="F2" s="20">
        <v>1.4117647058826632</v>
      </c>
      <c r="G2" s="21" t="s">
        <v>235</v>
      </c>
      <c r="H2" s="21" t="s">
        <v>14</v>
      </c>
      <c r="I2" s="21">
        <v>24</v>
      </c>
      <c r="J2" s="21" t="s">
        <v>15</v>
      </c>
      <c r="K2" s="21" t="s">
        <v>15</v>
      </c>
      <c r="L2" s="21" t="s">
        <v>15</v>
      </c>
      <c r="M2" s="21" t="s">
        <v>15</v>
      </c>
      <c r="N2" s="21" t="s">
        <v>16</v>
      </c>
      <c r="O2" s="21" t="s">
        <v>17</v>
      </c>
      <c r="P2" s="21"/>
      <c r="Q2" s="21"/>
      <c r="R2" s="16" t="str">
        <f>IF(L1="Y","Y","N")</f>
        <v>N</v>
      </c>
      <c r="S2" s="21" t="str">
        <f t="shared" ref="S2" si="0">IF(R1="Y","Y","N")</f>
        <v>N</v>
      </c>
      <c r="T2" s="21" t="str">
        <f>IF(S1="Y","Y","N")</f>
        <v>N</v>
      </c>
      <c r="U2" s="21" t="str">
        <f>IF(R2="N",IF(S2="N",IF(T2="N","N","Y"),"Y"),"Y")</f>
        <v>N</v>
      </c>
      <c r="V2" s="16" t="str">
        <f>IF(M1="Y","Y","N")</f>
        <v>N</v>
      </c>
      <c r="W2" s="21" t="str">
        <f t="shared" ref="W2:X17" si="1">IF(V1="Y","Y","N")</f>
        <v>N</v>
      </c>
      <c r="X2" s="21" t="str">
        <f>IF(W1="Y","Y","N")</f>
        <v>N</v>
      </c>
      <c r="Y2" s="21" t="str">
        <f>IF(V2="N",IF(W2="N",IF(X2="N","N","Y"),"Y"),"Y")</f>
        <v>N</v>
      </c>
      <c r="Z2" s="21" t="s">
        <v>15</v>
      </c>
      <c r="AA2" s="21" t="s">
        <v>15</v>
      </c>
      <c r="AB2" s="21" t="s">
        <v>15</v>
      </c>
      <c r="AC2" s="21" t="s">
        <v>15</v>
      </c>
    </row>
    <row r="3" spans="1:32" hidden="1">
      <c r="A3" s="23">
        <v>3</v>
      </c>
      <c r="B3" s="12">
        <v>0.47587962962962965</v>
      </c>
      <c r="C3" s="12">
        <v>0.47607638888888887</v>
      </c>
      <c r="D3" s="13">
        <v>1.96759259259216E-4</v>
      </c>
      <c r="E3" s="14">
        <v>16.999999999996263</v>
      </c>
      <c r="F3" s="15">
        <v>1.4117647058826632</v>
      </c>
      <c r="G3" s="16" t="s">
        <v>229</v>
      </c>
      <c r="H3" s="16" t="s">
        <v>14</v>
      </c>
      <c r="I3" s="16">
        <v>24</v>
      </c>
      <c r="J3" s="16" t="s">
        <v>15</v>
      </c>
      <c r="K3" s="16" t="s">
        <v>15</v>
      </c>
      <c r="L3" s="16" t="s">
        <v>15</v>
      </c>
      <c r="M3" s="16" t="s">
        <v>15</v>
      </c>
      <c r="N3" s="16" t="s">
        <v>16</v>
      </c>
      <c r="O3" s="16" t="s">
        <v>20</v>
      </c>
      <c r="P3" s="16"/>
      <c r="Q3" s="16"/>
      <c r="R3" s="16" t="str">
        <f t="shared" ref="R3:R66" si="2">IF(L2="Y","Y","N")</f>
        <v>N</v>
      </c>
      <c r="S3" s="21" t="str">
        <f t="shared" ref="S3" si="3">IF(R2="Y","Y","N")</f>
        <v>N</v>
      </c>
      <c r="T3" s="21" t="str">
        <f>IF(S2="Y","Y","N")</f>
        <v>N</v>
      </c>
      <c r="U3" s="21" t="str">
        <f t="shared" ref="U3:U66" si="4">IF(R3="N",IF(S3="N",IF(T3="N","N","Y"),"Y"),"Y")</f>
        <v>N</v>
      </c>
      <c r="V3" s="16" t="str">
        <f t="shared" ref="V3:V66" si="5">IF(M2="Y","Y","N")</f>
        <v>N</v>
      </c>
      <c r="W3" s="21" t="str">
        <f t="shared" si="1"/>
        <v>N</v>
      </c>
      <c r="X3" s="21" t="str">
        <f>IF(W2="Y","Y","N")</f>
        <v>N</v>
      </c>
      <c r="Y3" s="21" t="str">
        <f t="shared" ref="Y3:Y66" si="6">IF(V3="N",IF(W3="N",IF(X3="N","N","Y"),"Y"),"Y")</f>
        <v>N</v>
      </c>
      <c r="Z3" s="16" t="str">
        <f>IF(J2="Y","Y","N")</f>
        <v>N</v>
      </c>
      <c r="AA3" s="21" t="str">
        <f t="shared" ref="AA3" si="7">IF(Z2="Y","Y","N")</f>
        <v>N</v>
      </c>
      <c r="AB3" s="21" t="str">
        <f>IF(AA2="Y","Y","N")</f>
        <v>N</v>
      </c>
      <c r="AC3" s="21" t="str">
        <f t="shared" ref="AC3" si="8">IF(Z3="N",IF(AA3="N",IF(AB3="N","N","Y"),"Y"),"Y")</f>
        <v>N</v>
      </c>
    </row>
    <row r="4" spans="1:32" hidden="1">
      <c r="A4" s="22">
        <v>4</v>
      </c>
      <c r="B4" s="17">
        <v>0.47599537037037037</v>
      </c>
      <c r="C4" s="17">
        <v>0.47622685185185182</v>
      </c>
      <c r="D4" s="18">
        <v>2.3148148148144365E-4</v>
      </c>
      <c r="E4" s="19">
        <v>19.999999999996732</v>
      </c>
      <c r="F4" s="20">
        <v>1.200000000000196</v>
      </c>
      <c r="G4" s="21" t="s">
        <v>230</v>
      </c>
      <c r="H4" s="21" t="s">
        <v>14</v>
      </c>
      <c r="I4" s="21">
        <v>24</v>
      </c>
      <c r="J4" s="21" t="s">
        <v>15</v>
      </c>
      <c r="K4" s="21" t="s">
        <v>15</v>
      </c>
      <c r="L4" s="21" t="s">
        <v>15</v>
      </c>
      <c r="M4" s="21" t="s">
        <v>15</v>
      </c>
      <c r="N4" s="21" t="s">
        <v>15</v>
      </c>
      <c r="O4" s="21" t="s">
        <v>20</v>
      </c>
      <c r="P4" s="21"/>
      <c r="Q4" s="21"/>
      <c r="R4" s="16" t="str">
        <f t="shared" si="2"/>
        <v>N</v>
      </c>
      <c r="S4" s="21" t="str">
        <f t="shared" ref="S3:S66" si="9">IF(R3="Y","Y","N")</f>
        <v>N</v>
      </c>
      <c r="T4" s="21" t="str">
        <f t="shared" ref="T3:T66" si="10">IF(S3="Y","Y","N")</f>
        <v>N</v>
      </c>
      <c r="U4" s="21" t="str">
        <f t="shared" si="4"/>
        <v>N</v>
      </c>
      <c r="V4" s="16" t="str">
        <f t="shared" si="5"/>
        <v>N</v>
      </c>
      <c r="W4" s="21" t="str">
        <f t="shared" si="1"/>
        <v>N</v>
      </c>
      <c r="X4" s="21" t="str">
        <f t="shared" si="1"/>
        <v>N</v>
      </c>
      <c r="Y4" s="21" t="str">
        <f t="shared" si="6"/>
        <v>N</v>
      </c>
      <c r="Z4" s="16" t="str">
        <f t="shared" ref="Z4:Z67" si="11">IF(J3="Y","Y","N")</f>
        <v>N</v>
      </c>
      <c r="AA4" s="16" t="s">
        <v>15</v>
      </c>
      <c r="AB4" s="16" t="s">
        <v>15</v>
      </c>
      <c r="AC4" s="21" t="s">
        <v>15</v>
      </c>
    </row>
    <row r="5" spans="1:32" hidden="1">
      <c r="A5" s="23">
        <v>6</v>
      </c>
      <c r="B5" s="12">
        <v>0.47619212962962965</v>
      </c>
      <c r="C5" s="12">
        <v>0.47637731481481477</v>
      </c>
      <c r="D5" s="13">
        <v>1.8518518518512161E-4</v>
      </c>
      <c r="E5" s="14">
        <v>15.999999999994508</v>
      </c>
      <c r="F5" s="15">
        <v>1.5000000000005149</v>
      </c>
      <c r="G5" s="16" t="s">
        <v>236</v>
      </c>
      <c r="H5" s="16" t="s">
        <v>14</v>
      </c>
      <c r="I5" s="16">
        <v>24</v>
      </c>
      <c r="J5" s="16" t="s">
        <v>15</v>
      </c>
      <c r="K5" s="16" t="s">
        <v>15</v>
      </c>
      <c r="L5" s="16" t="s">
        <v>15</v>
      </c>
      <c r="M5" s="16" t="s">
        <v>15</v>
      </c>
      <c r="N5" s="16" t="s">
        <v>15</v>
      </c>
      <c r="O5" s="16" t="s">
        <v>17</v>
      </c>
      <c r="P5" s="16"/>
      <c r="Q5" s="16"/>
      <c r="R5" s="16" t="str">
        <f t="shared" si="2"/>
        <v>N</v>
      </c>
      <c r="S5" s="21" t="str">
        <f t="shared" si="9"/>
        <v>N</v>
      </c>
      <c r="T5" s="21" t="str">
        <f t="shared" si="10"/>
        <v>N</v>
      </c>
      <c r="U5" s="21" t="str">
        <f t="shared" si="4"/>
        <v>N</v>
      </c>
      <c r="V5" s="16" t="str">
        <f t="shared" si="5"/>
        <v>N</v>
      </c>
      <c r="W5" s="21" t="str">
        <f t="shared" si="1"/>
        <v>N</v>
      </c>
      <c r="X5" s="21" t="str">
        <f t="shared" si="1"/>
        <v>N</v>
      </c>
      <c r="Y5" s="21" t="str">
        <f t="shared" si="6"/>
        <v>N</v>
      </c>
      <c r="Z5" s="16" t="str">
        <f t="shared" si="11"/>
        <v>N</v>
      </c>
      <c r="AA5" s="16" t="s">
        <v>15</v>
      </c>
      <c r="AB5" s="16" t="s">
        <v>15</v>
      </c>
      <c r="AC5" s="21" t="s">
        <v>15</v>
      </c>
    </row>
    <row r="6" spans="1:32" hidden="1">
      <c r="A6" s="22">
        <v>8</v>
      </c>
      <c r="B6" s="17">
        <v>0.47627314814814814</v>
      </c>
      <c r="C6" s="17">
        <v>0.47643518518518518</v>
      </c>
      <c r="D6" s="18">
        <v>1.6203703703704386E-4</v>
      </c>
      <c r="E6" s="19">
        <v>14.00000000000059</v>
      </c>
      <c r="F6" s="20">
        <v>1.714285714285642</v>
      </c>
      <c r="G6" s="21" t="s">
        <v>49</v>
      </c>
      <c r="H6" s="21" t="s">
        <v>14</v>
      </c>
      <c r="I6" s="21">
        <v>24</v>
      </c>
      <c r="J6" s="21" t="s">
        <v>15</v>
      </c>
      <c r="K6" s="21" t="s">
        <v>15</v>
      </c>
      <c r="L6" s="21" t="s">
        <v>15</v>
      </c>
      <c r="M6" s="21" t="s">
        <v>15</v>
      </c>
      <c r="N6" s="21" t="s">
        <v>15</v>
      </c>
      <c r="O6" s="21" t="s">
        <v>20</v>
      </c>
      <c r="P6" s="21"/>
      <c r="Q6" s="21"/>
      <c r="R6" s="16" t="str">
        <f t="shared" si="2"/>
        <v>N</v>
      </c>
      <c r="S6" s="21" t="str">
        <f t="shared" si="9"/>
        <v>N</v>
      </c>
      <c r="T6" s="21" t="str">
        <f t="shared" si="10"/>
        <v>N</v>
      </c>
      <c r="U6" s="21" t="str">
        <f t="shared" si="4"/>
        <v>N</v>
      </c>
      <c r="V6" s="16" t="str">
        <f t="shared" si="5"/>
        <v>N</v>
      </c>
      <c r="W6" s="21" t="str">
        <f t="shared" si="1"/>
        <v>N</v>
      </c>
      <c r="X6" s="21" t="str">
        <f t="shared" si="1"/>
        <v>N</v>
      </c>
      <c r="Y6" s="21" t="str">
        <f t="shared" si="6"/>
        <v>N</v>
      </c>
      <c r="Z6" s="16" t="str">
        <f t="shared" si="11"/>
        <v>N</v>
      </c>
      <c r="AA6" s="16" t="s">
        <v>15</v>
      </c>
      <c r="AB6" s="16" t="s">
        <v>15</v>
      </c>
      <c r="AC6" s="21" t="s">
        <v>15</v>
      </c>
    </row>
    <row r="7" spans="1:32" hidden="1">
      <c r="A7" s="23">
        <v>9</v>
      </c>
      <c r="B7" s="12">
        <v>0.47629629629629627</v>
      </c>
      <c r="C7" s="12">
        <v>0.47649305555555554</v>
      </c>
      <c r="D7" s="13">
        <v>1.9675925925927151E-4</v>
      </c>
      <c r="E7" s="14">
        <v>17.000000000001059</v>
      </c>
      <c r="F7" s="15">
        <v>1.4117647058822651</v>
      </c>
      <c r="G7" s="16" t="s">
        <v>48</v>
      </c>
      <c r="H7" s="16" t="s">
        <v>14</v>
      </c>
      <c r="I7" s="16">
        <v>24</v>
      </c>
      <c r="J7" s="16" t="s">
        <v>15</v>
      </c>
      <c r="K7" s="16" t="s">
        <v>15</v>
      </c>
      <c r="L7" s="16" t="s">
        <v>15</v>
      </c>
      <c r="M7" s="16" t="s">
        <v>15</v>
      </c>
      <c r="N7" s="16" t="s">
        <v>15</v>
      </c>
      <c r="O7" s="16" t="s">
        <v>17</v>
      </c>
      <c r="P7" s="16"/>
      <c r="Q7" s="16"/>
      <c r="R7" s="16" t="str">
        <f t="shared" si="2"/>
        <v>N</v>
      </c>
      <c r="S7" s="21" t="str">
        <f t="shared" si="9"/>
        <v>N</v>
      </c>
      <c r="T7" s="21" t="str">
        <f t="shared" si="10"/>
        <v>N</v>
      </c>
      <c r="U7" s="21" t="str">
        <f t="shared" si="4"/>
        <v>N</v>
      </c>
      <c r="V7" s="16" t="str">
        <f t="shared" si="5"/>
        <v>N</v>
      </c>
      <c r="W7" s="21" t="str">
        <f t="shared" si="1"/>
        <v>N</v>
      </c>
      <c r="X7" s="21" t="str">
        <f t="shared" si="1"/>
        <v>N</v>
      </c>
      <c r="Y7" s="21" t="str">
        <f t="shared" si="6"/>
        <v>N</v>
      </c>
      <c r="Z7" s="16" t="str">
        <f t="shared" si="11"/>
        <v>N</v>
      </c>
      <c r="AA7" s="16" t="s">
        <v>15</v>
      </c>
      <c r="AB7" s="16" t="s">
        <v>15</v>
      </c>
      <c r="AC7" s="21" t="s">
        <v>15</v>
      </c>
    </row>
    <row r="8" spans="1:32" hidden="1">
      <c r="A8" s="22">
        <v>11</v>
      </c>
      <c r="B8" s="17">
        <v>0.4763310185185185</v>
      </c>
      <c r="C8" s="17">
        <v>0.47652777777777783</v>
      </c>
      <c r="D8" s="18">
        <v>1.9675925925932702E-4</v>
      </c>
      <c r="E8" s="19">
        <v>17.000000000005855</v>
      </c>
      <c r="F8" s="20">
        <v>1.4117647058818668</v>
      </c>
      <c r="G8" s="21" t="s">
        <v>227</v>
      </c>
      <c r="H8" s="21" t="s">
        <v>14</v>
      </c>
      <c r="I8" s="21">
        <v>24</v>
      </c>
      <c r="J8" s="21" t="s">
        <v>15</v>
      </c>
      <c r="K8" s="21" t="s">
        <v>15</v>
      </c>
      <c r="L8" s="21" t="s">
        <v>15</v>
      </c>
      <c r="M8" s="21" t="s">
        <v>15</v>
      </c>
      <c r="N8" s="21" t="s">
        <v>15</v>
      </c>
      <c r="O8" s="21" t="s">
        <v>20</v>
      </c>
      <c r="P8" s="21"/>
      <c r="Q8" s="21"/>
      <c r="R8" s="16" t="str">
        <f t="shared" si="2"/>
        <v>N</v>
      </c>
      <c r="S8" s="21" t="str">
        <f t="shared" si="9"/>
        <v>N</v>
      </c>
      <c r="T8" s="21" t="str">
        <f t="shared" si="10"/>
        <v>N</v>
      </c>
      <c r="U8" s="21" t="str">
        <f t="shared" si="4"/>
        <v>N</v>
      </c>
      <c r="V8" s="16" t="str">
        <f t="shared" si="5"/>
        <v>N</v>
      </c>
      <c r="W8" s="21" t="str">
        <f t="shared" si="1"/>
        <v>N</v>
      </c>
      <c r="X8" s="21" t="str">
        <f t="shared" si="1"/>
        <v>N</v>
      </c>
      <c r="Y8" s="21" t="str">
        <f t="shared" si="6"/>
        <v>N</v>
      </c>
      <c r="Z8" s="16" t="str">
        <f t="shared" si="11"/>
        <v>N</v>
      </c>
      <c r="AA8" s="16" t="s">
        <v>15</v>
      </c>
      <c r="AB8" s="16" t="s">
        <v>15</v>
      </c>
      <c r="AC8" s="21" t="s">
        <v>15</v>
      </c>
    </row>
    <row r="9" spans="1:32" hidden="1">
      <c r="A9" s="23">
        <v>12</v>
      </c>
      <c r="B9" s="12">
        <v>0.47640046296296296</v>
      </c>
      <c r="C9" s="12">
        <v>0.4765625</v>
      </c>
      <c r="D9" s="13">
        <v>1.6203703703704386E-4</v>
      </c>
      <c r="E9" s="14">
        <v>14.00000000000059</v>
      </c>
      <c r="F9" s="15">
        <v>1.714285714285642</v>
      </c>
      <c r="G9" s="16" t="s">
        <v>47</v>
      </c>
      <c r="H9" s="16" t="s">
        <v>14</v>
      </c>
      <c r="I9" s="16">
        <v>24</v>
      </c>
      <c r="J9" s="16" t="s">
        <v>15</v>
      </c>
      <c r="K9" s="16" t="s">
        <v>15</v>
      </c>
      <c r="L9" s="16" t="s">
        <v>15</v>
      </c>
      <c r="M9" s="16" t="s">
        <v>15</v>
      </c>
      <c r="N9" s="16" t="s">
        <v>15</v>
      </c>
      <c r="O9" s="16" t="s">
        <v>20</v>
      </c>
      <c r="P9" s="16"/>
      <c r="Q9" s="16"/>
      <c r="R9" s="16" t="str">
        <f t="shared" si="2"/>
        <v>N</v>
      </c>
      <c r="S9" s="21" t="str">
        <f t="shared" si="9"/>
        <v>N</v>
      </c>
      <c r="T9" s="21" t="str">
        <f t="shared" si="10"/>
        <v>N</v>
      </c>
      <c r="U9" s="21" t="str">
        <f t="shared" si="4"/>
        <v>N</v>
      </c>
      <c r="V9" s="16" t="str">
        <f t="shared" si="5"/>
        <v>N</v>
      </c>
      <c r="W9" s="21" t="str">
        <f t="shared" si="1"/>
        <v>N</v>
      </c>
      <c r="X9" s="21" t="str">
        <f t="shared" si="1"/>
        <v>N</v>
      </c>
      <c r="Y9" s="21" t="str">
        <f t="shared" si="6"/>
        <v>N</v>
      </c>
      <c r="Z9" s="16" t="str">
        <f t="shared" si="11"/>
        <v>N</v>
      </c>
      <c r="AA9" s="16" t="s">
        <v>15</v>
      </c>
      <c r="AB9" s="16" t="s">
        <v>15</v>
      </c>
      <c r="AC9" s="21" t="s">
        <v>15</v>
      </c>
    </row>
    <row r="10" spans="1:32" hidden="1">
      <c r="A10" s="22">
        <v>13</v>
      </c>
      <c r="B10" s="17">
        <v>0.47643518518518518</v>
      </c>
      <c r="C10" s="17">
        <v>0.47660879629629632</v>
      </c>
      <c r="D10" s="18">
        <v>1.7361111111113825E-4</v>
      </c>
      <c r="E10" s="19">
        <v>15.000000000002345</v>
      </c>
      <c r="F10" s="20">
        <v>1.5999999999997498</v>
      </c>
      <c r="G10" s="21" t="s">
        <v>46</v>
      </c>
      <c r="H10" s="21" t="s">
        <v>14</v>
      </c>
      <c r="I10" s="21">
        <v>24</v>
      </c>
      <c r="J10" s="21" t="s">
        <v>15</v>
      </c>
      <c r="K10" s="21" t="s">
        <v>15</v>
      </c>
      <c r="L10" s="21" t="s">
        <v>15</v>
      </c>
      <c r="M10" s="21" t="s">
        <v>15</v>
      </c>
      <c r="N10" s="21" t="s">
        <v>15</v>
      </c>
      <c r="O10" s="21" t="s">
        <v>20</v>
      </c>
      <c r="P10" s="21"/>
      <c r="Q10" s="21"/>
      <c r="R10" s="16" t="str">
        <f t="shared" si="2"/>
        <v>N</v>
      </c>
      <c r="S10" s="21" t="str">
        <f t="shared" si="9"/>
        <v>N</v>
      </c>
      <c r="T10" s="21" t="str">
        <f t="shared" si="10"/>
        <v>N</v>
      </c>
      <c r="U10" s="21" t="str">
        <f t="shared" si="4"/>
        <v>N</v>
      </c>
      <c r="V10" s="16" t="str">
        <f t="shared" si="5"/>
        <v>N</v>
      </c>
      <c r="W10" s="21" t="str">
        <f t="shared" si="1"/>
        <v>N</v>
      </c>
      <c r="X10" s="21" t="str">
        <f t="shared" si="1"/>
        <v>N</v>
      </c>
      <c r="Y10" s="21" t="str">
        <f t="shared" si="6"/>
        <v>N</v>
      </c>
      <c r="Z10" s="16" t="str">
        <f t="shared" si="11"/>
        <v>N</v>
      </c>
      <c r="AA10" s="16" t="s">
        <v>15</v>
      </c>
      <c r="AB10" s="16" t="s">
        <v>15</v>
      </c>
      <c r="AC10" s="21" t="s">
        <v>15</v>
      </c>
    </row>
    <row r="11" spans="1:32">
      <c r="A11" s="23">
        <v>14</v>
      </c>
      <c r="B11" s="12">
        <v>0.47650462962962964</v>
      </c>
      <c r="C11" s="12">
        <v>0.47672453703703704</v>
      </c>
      <c r="D11" s="13">
        <v>2.1990740740740478E-4</v>
      </c>
      <c r="E11" s="14">
        <v>18.999999999999773</v>
      </c>
      <c r="F11" s="15">
        <v>1.2631578947368571</v>
      </c>
      <c r="G11" s="16" t="s">
        <v>228</v>
      </c>
      <c r="H11" s="16" t="s">
        <v>14</v>
      </c>
      <c r="I11" s="16">
        <v>24</v>
      </c>
      <c r="J11" s="16" t="s">
        <v>15</v>
      </c>
      <c r="K11" s="16" t="s">
        <v>15</v>
      </c>
      <c r="L11" s="16" t="s">
        <v>15</v>
      </c>
      <c r="M11" s="16" t="s">
        <v>15</v>
      </c>
      <c r="N11" s="16" t="s">
        <v>15</v>
      </c>
      <c r="O11" s="16" t="s">
        <v>17</v>
      </c>
      <c r="P11" s="16"/>
      <c r="Q11" s="16"/>
      <c r="R11" s="16" t="str">
        <f t="shared" si="2"/>
        <v>N</v>
      </c>
      <c r="S11" s="21" t="str">
        <f t="shared" si="9"/>
        <v>N</v>
      </c>
      <c r="T11" s="21" t="str">
        <f t="shared" si="10"/>
        <v>N</v>
      </c>
      <c r="U11" s="21" t="str">
        <f t="shared" si="4"/>
        <v>N</v>
      </c>
      <c r="V11" s="16" t="str">
        <f t="shared" si="5"/>
        <v>N</v>
      </c>
      <c r="W11" s="21" t="str">
        <f t="shared" si="1"/>
        <v>N</v>
      </c>
      <c r="X11" s="21" t="str">
        <f t="shared" si="1"/>
        <v>N</v>
      </c>
      <c r="Y11" s="21" t="str">
        <f t="shared" si="6"/>
        <v>N</v>
      </c>
      <c r="Z11" s="16" t="str">
        <f t="shared" si="11"/>
        <v>N</v>
      </c>
      <c r="AA11" s="16" t="s">
        <v>15</v>
      </c>
      <c r="AB11" s="16" t="s">
        <v>15</v>
      </c>
      <c r="AC11" s="21" t="s">
        <v>16</v>
      </c>
    </row>
    <row r="12" spans="1:32">
      <c r="A12" s="22">
        <v>15</v>
      </c>
      <c r="B12" s="17">
        <v>0.47653935185185187</v>
      </c>
      <c r="C12" s="17">
        <v>0.47672453703703704</v>
      </c>
      <c r="D12" s="18">
        <v>1.8518518518517713E-4</v>
      </c>
      <c r="E12" s="19">
        <v>15.999999999999304</v>
      </c>
      <c r="F12" s="20">
        <v>1.5000000000000653</v>
      </c>
      <c r="G12" s="21" t="s">
        <v>239</v>
      </c>
      <c r="H12" s="21" t="s">
        <v>14</v>
      </c>
      <c r="I12" s="21">
        <v>24</v>
      </c>
      <c r="J12" s="21" t="s">
        <v>15</v>
      </c>
      <c r="K12" s="21" t="s">
        <v>15</v>
      </c>
      <c r="L12" s="21" t="s">
        <v>15</v>
      </c>
      <c r="M12" s="21" t="s">
        <v>15</v>
      </c>
      <c r="N12" s="21" t="s">
        <v>15</v>
      </c>
      <c r="O12" s="21" t="s">
        <v>17</v>
      </c>
      <c r="P12" s="21"/>
      <c r="Q12" s="21"/>
      <c r="R12" s="16" t="str">
        <f t="shared" si="2"/>
        <v>N</v>
      </c>
      <c r="S12" s="21" t="str">
        <f t="shared" si="9"/>
        <v>N</v>
      </c>
      <c r="T12" s="21" t="str">
        <f t="shared" si="10"/>
        <v>N</v>
      </c>
      <c r="U12" s="21" t="str">
        <f t="shared" si="4"/>
        <v>N</v>
      </c>
      <c r="V12" s="16" t="str">
        <f t="shared" si="5"/>
        <v>N</v>
      </c>
      <c r="W12" s="21" t="str">
        <f t="shared" si="1"/>
        <v>N</v>
      </c>
      <c r="X12" s="21" t="str">
        <f t="shared" si="1"/>
        <v>N</v>
      </c>
      <c r="Y12" s="21" t="str">
        <f t="shared" si="6"/>
        <v>N</v>
      </c>
      <c r="Z12" s="16" t="str">
        <f t="shared" si="11"/>
        <v>N</v>
      </c>
      <c r="AA12" s="16" t="s">
        <v>15</v>
      </c>
      <c r="AB12" s="16" t="s">
        <v>15</v>
      </c>
      <c r="AC12" s="21" t="s">
        <v>16</v>
      </c>
    </row>
    <row r="13" spans="1:32" hidden="1">
      <c r="A13" s="23">
        <v>18</v>
      </c>
      <c r="B13" s="12">
        <v>0.47666666666666663</v>
      </c>
      <c r="C13" s="12">
        <v>0.4768634259259259</v>
      </c>
      <c r="D13" s="13">
        <v>1.9675925925927151E-4</v>
      </c>
      <c r="E13" s="14">
        <v>17.000000000001059</v>
      </c>
      <c r="F13" s="15">
        <v>1.4117647058822651</v>
      </c>
      <c r="G13" s="16" t="s">
        <v>241</v>
      </c>
      <c r="H13" s="16" t="s">
        <v>14</v>
      </c>
      <c r="I13" s="16">
        <v>24</v>
      </c>
      <c r="J13" s="16" t="s">
        <v>15</v>
      </c>
      <c r="K13" s="16" t="s">
        <v>15</v>
      </c>
      <c r="L13" s="16" t="s">
        <v>15</v>
      </c>
      <c r="M13" s="16" t="s">
        <v>15</v>
      </c>
      <c r="N13" s="16" t="s">
        <v>15</v>
      </c>
      <c r="O13" s="16" t="s">
        <v>20</v>
      </c>
      <c r="P13" s="16"/>
      <c r="Q13" s="16"/>
      <c r="R13" s="16" t="str">
        <f t="shared" si="2"/>
        <v>N</v>
      </c>
      <c r="S13" s="21" t="str">
        <f t="shared" si="9"/>
        <v>N</v>
      </c>
      <c r="T13" s="21" t="str">
        <f t="shared" si="10"/>
        <v>N</v>
      </c>
      <c r="U13" s="21" t="str">
        <f t="shared" si="4"/>
        <v>N</v>
      </c>
      <c r="V13" s="16" t="str">
        <f t="shared" si="5"/>
        <v>N</v>
      </c>
      <c r="W13" s="21" t="str">
        <f t="shared" si="1"/>
        <v>N</v>
      </c>
      <c r="X13" s="21" t="str">
        <f t="shared" si="1"/>
        <v>N</v>
      </c>
      <c r="Y13" s="21" t="str">
        <f t="shared" si="6"/>
        <v>N</v>
      </c>
      <c r="Z13" s="16" t="str">
        <f t="shared" si="11"/>
        <v>N</v>
      </c>
      <c r="AA13" s="16" t="s">
        <v>15</v>
      </c>
      <c r="AB13" s="16" t="s">
        <v>15</v>
      </c>
      <c r="AC13" s="21" t="s">
        <v>15</v>
      </c>
    </row>
    <row r="14" spans="1:32" hidden="1">
      <c r="A14" s="22">
        <v>20</v>
      </c>
      <c r="B14" s="17">
        <v>0.47672453703703704</v>
      </c>
      <c r="C14" s="17">
        <v>0.47692129629629632</v>
      </c>
      <c r="D14" s="18">
        <v>1.9675925925927151E-4</v>
      </c>
      <c r="E14" s="19">
        <v>17.000000000001059</v>
      </c>
      <c r="F14" s="20">
        <v>1.4117647058822651</v>
      </c>
      <c r="G14" s="21" t="s">
        <v>243</v>
      </c>
      <c r="H14" s="21" t="s">
        <v>14</v>
      </c>
      <c r="I14" s="21">
        <v>24</v>
      </c>
      <c r="J14" s="21" t="s">
        <v>15</v>
      </c>
      <c r="K14" s="21" t="s">
        <v>16</v>
      </c>
      <c r="L14" s="21" t="s">
        <v>16</v>
      </c>
      <c r="M14" s="21" t="s">
        <v>15</v>
      </c>
      <c r="N14" s="21" t="s">
        <v>16</v>
      </c>
      <c r="O14" s="21" t="s">
        <v>20</v>
      </c>
      <c r="P14" s="21"/>
      <c r="Q14" s="21"/>
      <c r="R14" s="16" t="str">
        <f t="shared" si="2"/>
        <v>N</v>
      </c>
      <c r="S14" s="21" t="str">
        <f t="shared" si="9"/>
        <v>N</v>
      </c>
      <c r="T14" s="21" t="str">
        <f t="shared" si="10"/>
        <v>N</v>
      </c>
      <c r="U14" s="21" t="str">
        <f t="shared" si="4"/>
        <v>N</v>
      </c>
      <c r="V14" s="16" t="str">
        <f t="shared" si="5"/>
        <v>N</v>
      </c>
      <c r="W14" s="21" t="str">
        <f t="shared" si="1"/>
        <v>N</v>
      </c>
      <c r="X14" s="21" t="str">
        <f t="shared" si="1"/>
        <v>N</v>
      </c>
      <c r="Y14" s="21" t="str">
        <f t="shared" si="6"/>
        <v>N</v>
      </c>
      <c r="Z14" s="16" t="str">
        <f t="shared" si="11"/>
        <v>N</v>
      </c>
      <c r="AA14" s="16" t="s">
        <v>15</v>
      </c>
      <c r="AB14" s="16" t="s">
        <v>15</v>
      </c>
      <c r="AC14" s="21" t="s">
        <v>15</v>
      </c>
    </row>
    <row r="15" spans="1:32" hidden="1">
      <c r="A15" s="23">
        <v>21</v>
      </c>
      <c r="B15" s="12">
        <v>0.4768634259259259</v>
      </c>
      <c r="C15" s="12">
        <v>0.4770949074074074</v>
      </c>
      <c r="D15" s="13">
        <v>2.3148148148149916E-4</v>
      </c>
      <c r="E15" s="14">
        <v>20.000000000001528</v>
      </c>
      <c r="F15" s="15">
        <v>1.1999999999999083</v>
      </c>
      <c r="G15" s="16" t="s">
        <v>244</v>
      </c>
      <c r="H15" s="16" t="s">
        <v>14</v>
      </c>
      <c r="I15" s="16">
        <v>24</v>
      </c>
      <c r="J15" s="16" t="s">
        <v>15</v>
      </c>
      <c r="K15" s="16" t="s">
        <v>16</v>
      </c>
      <c r="L15" s="16" t="s">
        <v>16</v>
      </c>
      <c r="M15" s="16" t="s">
        <v>15</v>
      </c>
      <c r="N15" s="16" t="s">
        <v>16</v>
      </c>
      <c r="O15" s="16" t="s">
        <v>17</v>
      </c>
      <c r="P15" s="16" t="s">
        <v>16</v>
      </c>
      <c r="Q15" s="16"/>
      <c r="R15" s="16" t="str">
        <f t="shared" si="2"/>
        <v>Y</v>
      </c>
      <c r="S15" s="21" t="str">
        <f t="shared" si="9"/>
        <v>N</v>
      </c>
      <c r="T15" s="21" t="str">
        <f t="shared" si="10"/>
        <v>N</v>
      </c>
      <c r="U15" s="21" t="str">
        <f t="shared" si="4"/>
        <v>Y</v>
      </c>
      <c r="V15" s="16" t="str">
        <f t="shared" si="5"/>
        <v>N</v>
      </c>
      <c r="W15" s="21" t="str">
        <f t="shared" si="1"/>
        <v>N</v>
      </c>
      <c r="X15" s="21" t="str">
        <f t="shared" si="1"/>
        <v>N</v>
      </c>
      <c r="Y15" s="21" t="str">
        <f t="shared" si="6"/>
        <v>N</v>
      </c>
      <c r="Z15" s="16" t="str">
        <f t="shared" si="11"/>
        <v>N</v>
      </c>
      <c r="AA15" s="16" t="s">
        <v>15</v>
      </c>
      <c r="AB15" s="16" t="s">
        <v>15</v>
      </c>
      <c r="AC15" s="21" t="s">
        <v>15</v>
      </c>
    </row>
    <row r="16" spans="1:32" hidden="1">
      <c r="A16" s="22">
        <v>22</v>
      </c>
      <c r="B16" s="17">
        <v>0.51853009259259297</v>
      </c>
      <c r="C16" s="17">
        <v>0.51876157407407397</v>
      </c>
      <c r="D16" s="18">
        <v>2.3148148148099956E-4</v>
      </c>
      <c r="E16" s="19">
        <v>19.999999999958362</v>
      </c>
      <c r="F16" s="20">
        <v>1.2000000000024982</v>
      </c>
      <c r="G16" s="21" t="s">
        <v>245</v>
      </c>
      <c r="H16" s="21" t="s">
        <v>14</v>
      </c>
      <c r="I16" s="21">
        <v>24</v>
      </c>
      <c r="J16" s="21" t="s">
        <v>15</v>
      </c>
      <c r="K16" s="21" t="s">
        <v>15</v>
      </c>
      <c r="L16" s="21" t="s">
        <v>15</v>
      </c>
      <c r="M16" s="21" t="s">
        <v>15</v>
      </c>
      <c r="N16" s="21" t="s">
        <v>15</v>
      </c>
      <c r="O16" s="21" t="s">
        <v>20</v>
      </c>
      <c r="P16" s="21"/>
      <c r="Q16" s="21">
        <v>21</v>
      </c>
      <c r="R16" s="16" t="str">
        <f t="shared" si="2"/>
        <v>Y</v>
      </c>
      <c r="S16" s="21" t="str">
        <f t="shared" si="9"/>
        <v>Y</v>
      </c>
      <c r="T16" s="21" t="str">
        <f t="shared" si="10"/>
        <v>N</v>
      </c>
      <c r="U16" s="21" t="str">
        <f t="shared" si="4"/>
        <v>Y</v>
      </c>
      <c r="V16" s="16" t="str">
        <f t="shared" si="5"/>
        <v>N</v>
      </c>
      <c r="W16" s="21" t="str">
        <f t="shared" si="1"/>
        <v>N</v>
      </c>
      <c r="X16" s="21" t="str">
        <f t="shared" si="1"/>
        <v>N</v>
      </c>
      <c r="Y16" s="21" t="str">
        <f t="shared" si="6"/>
        <v>N</v>
      </c>
      <c r="Z16" s="16" t="str">
        <f t="shared" si="11"/>
        <v>N</v>
      </c>
      <c r="AA16" s="16" t="s">
        <v>15</v>
      </c>
      <c r="AB16" s="16" t="s">
        <v>15</v>
      </c>
      <c r="AC16" s="21" t="s">
        <v>15</v>
      </c>
    </row>
    <row r="17" spans="1:29" hidden="1">
      <c r="A17" s="23">
        <v>24</v>
      </c>
      <c r="B17" s="12">
        <v>0.47672453703703704</v>
      </c>
      <c r="C17" s="12">
        <v>0.47689814814814818</v>
      </c>
      <c r="D17" s="13">
        <v>1.7361111111113825E-4</v>
      </c>
      <c r="E17" s="14">
        <v>15.000000000002345</v>
      </c>
      <c r="F17" s="15">
        <v>1.5999999999997498</v>
      </c>
      <c r="G17" s="16" t="s">
        <v>44</v>
      </c>
      <c r="H17" s="16" t="s">
        <v>14</v>
      </c>
      <c r="I17" s="16">
        <v>24</v>
      </c>
      <c r="J17" s="16" t="s">
        <v>15</v>
      </c>
      <c r="K17" s="16" t="s">
        <v>15</v>
      </c>
      <c r="L17" s="16" t="s">
        <v>15</v>
      </c>
      <c r="M17" s="16" t="s">
        <v>15</v>
      </c>
      <c r="N17" s="16" t="s">
        <v>15</v>
      </c>
      <c r="O17" s="16" t="s">
        <v>20</v>
      </c>
      <c r="P17" s="16"/>
      <c r="Q17" s="16"/>
      <c r="R17" s="16" t="str">
        <f t="shared" si="2"/>
        <v>N</v>
      </c>
      <c r="S17" s="21" t="str">
        <f t="shared" si="9"/>
        <v>Y</v>
      </c>
      <c r="T17" s="21" t="str">
        <f t="shared" si="10"/>
        <v>Y</v>
      </c>
      <c r="U17" s="21" t="str">
        <f t="shared" si="4"/>
        <v>Y</v>
      </c>
      <c r="V17" s="16" t="str">
        <f t="shared" si="5"/>
        <v>N</v>
      </c>
      <c r="W17" s="21" t="str">
        <f t="shared" si="1"/>
        <v>N</v>
      </c>
      <c r="X17" s="21" t="str">
        <f t="shared" si="1"/>
        <v>N</v>
      </c>
      <c r="Y17" s="21" t="str">
        <f t="shared" si="6"/>
        <v>N</v>
      </c>
      <c r="Z17" s="16" t="str">
        <f t="shared" si="11"/>
        <v>N</v>
      </c>
      <c r="AA17" s="16" t="s">
        <v>15</v>
      </c>
      <c r="AB17" s="16" t="s">
        <v>15</v>
      </c>
      <c r="AC17" s="21" t="s">
        <v>15</v>
      </c>
    </row>
    <row r="18" spans="1:29" hidden="1">
      <c r="A18" s="22">
        <v>25</v>
      </c>
      <c r="B18" s="17">
        <v>0.47696759259259264</v>
      </c>
      <c r="C18" s="17">
        <v>0.47718750000000004</v>
      </c>
      <c r="D18" s="18">
        <v>2.1990740740740478E-4</v>
      </c>
      <c r="E18" s="19">
        <v>18.999999999999773</v>
      </c>
      <c r="F18" s="20">
        <v>1.2631578947368571</v>
      </c>
      <c r="G18" s="21" t="s">
        <v>43</v>
      </c>
      <c r="H18" s="21" t="s">
        <v>14</v>
      </c>
      <c r="I18" s="21">
        <v>24</v>
      </c>
      <c r="J18" s="21" t="s">
        <v>15</v>
      </c>
      <c r="K18" s="21" t="s">
        <v>15</v>
      </c>
      <c r="L18" s="21" t="s">
        <v>15</v>
      </c>
      <c r="M18" s="21" t="s">
        <v>15</v>
      </c>
      <c r="N18" s="21" t="s">
        <v>15</v>
      </c>
      <c r="O18" s="21" t="s">
        <v>17</v>
      </c>
      <c r="P18" s="21"/>
      <c r="Q18" s="21"/>
      <c r="R18" s="16" t="str">
        <f t="shared" si="2"/>
        <v>N</v>
      </c>
      <c r="S18" s="21" t="str">
        <f t="shared" si="9"/>
        <v>N</v>
      </c>
      <c r="T18" s="21" t="str">
        <f t="shared" si="10"/>
        <v>Y</v>
      </c>
      <c r="U18" s="21" t="str">
        <f t="shared" si="4"/>
        <v>Y</v>
      </c>
      <c r="V18" s="16" t="str">
        <f t="shared" si="5"/>
        <v>N</v>
      </c>
      <c r="W18" s="21" t="str">
        <f t="shared" ref="W18:X81" si="12">IF(V17="Y","Y","N")</f>
        <v>N</v>
      </c>
      <c r="X18" s="21" t="str">
        <f t="shared" si="12"/>
        <v>N</v>
      </c>
      <c r="Y18" s="21" t="str">
        <f t="shared" si="6"/>
        <v>N</v>
      </c>
      <c r="Z18" s="16" t="str">
        <f t="shared" si="11"/>
        <v>N</v>
      </c>
      <c r="AA18" s="16" t="s">
        <v>15</v>
      </c>
      <c r="AB18" s="16" t="s">
        <v>15</v>
      </c>
      <c r="AC18" s="21" t="s">
        <v>15</v>
      </c>
    </row>
    <row r="19" spans="1:29" hidden="1">
      <c r="A19" s="23">
        <v>26</v>
      </c>
      <c r="B19" s="12">
        <v>0.4770138888888889</v>
      </c>
      <c r="C19" s="12">
        <v>0.4772569444444445</v>
      </c>
      <c r="D19" s="13">
        <v>2.4305555555559355E-4</v>
      </c>
      <c r="E19" s="14">
        <v>21.000000000003283</v>
      </c>
      <c r="F19" s="15">
        <v>1.1428571428569643</v>
      </c>
      <c r="G19" s="16" t="s">
        <v>246</v>
      </c>
      <c r="H19" s="16" t="s">
        <v>14</v>
      </c>
      <c r="I19" s="16">
        <v>24</v>
      </c>
      <c r="J19" s="16" t="s">
        <v>15</v>
      </c>
      <c r="K19" s="16" t="s">
        <v>16</v>
      </c>
      <c r="L19" s="16" t="s">
        <v>16</v>
      </c>
      <c r="M19" s="16" t="s">
        <v>15</v>
      </c>
      <c r="N19" s="16" t="s">
        <v>16</v>
      </c>
      <c r="O19" s="16" t="s">
        <v>20</v>
      </c>
      <c r="P19" s="16"/>
      <c r="Q19" s="16"/>
      <c r="R19" s="16" t="str">
        <f t="shared" si="2"/>
        <v>N</v>
      </c>
      <c r="S19" s="21" t="str">
        <f t="shared" si="9"/>
        <v>N</v>
      </c>
      <c r="T19" s="21" t="str">
        <f t="shared" si="10"/>
        <v>N</v>
      </c>
      <c r="U19" s="21" t="str">
        <f t="shared" si="4"/>
        <v>N</v>
      </c>
      <c r="V19" s="16" t="str">
        <f t="shared" si="5"/>
        <v>N</v>
      </c>
      <c r="W19" s="21" t="str">
        <f t="shared" si="12"/>
        <v>N</v>
      </c>
      <c r="X19" s="21" t="str">
        <f t="shared" si="12"/>
        <v>N</v>
      </c>
      <c r="Y19" s="21" t="str">
        <f t="shared" si="6"/>
        <v>N</v>
      </c>
      <c r="Z19" s="16" t="str">
        <f t="shared" si="11"/>
        <v>N</v>
      </c>
      <c r="AA19" s="16" t="s">
        <v>15</v>
      </c>
      <c r="AB19" s="16" t="s">
        <v>15</v>
      </c>
      <c r="AC19" s="21" t="s">
        <v>15</v>
      </c>
    </row>
    <row r="20" spans="1:29">
      <c r="A20" s="22">
        <v>27</v>
      </c>
      <c r="B20" s="17">
        <v>0.47703703703703698</v>
      </c>
      <c r="C20" s="17">
        <v>0.4772569444444445</v>
      </c>
      <c r="D20" s="18">
        <v>2.199074074075158E-4</v>
      </c>
      <c r="E20" s="19">
        <v>19.000000000009365</v>
      </c>
      <c r="F20" s="20">
        <v>1.2631578947362194</v>
      </c>
      <c r="G20" s="21" t="s">
        <v>41</v>
      </c>
      <c r="H20" s="21" t="s">
        <v>14</v>
      </c>
      <c r="I20" s="21">
        <v>24</v>
      </c>
      <c r="J20" s="21" t="s">
        <v>15</v>
      </c>
      <c r="K20" s="21" t="s">
        <v>42</v>
      </c>
      <c r="L20" s="21" t="s">
        <v>15</v>
      </c>
      <c r="M20" s="21" t="s">
        <v>15</v>
      </c>
      <c r="N20" s="21" t="s">
        <v>15</v>
      </c>
      <c r="O20" s="21" t="s">
        <v>20</v>
      </c>
      <c r="P20" s="21"/>
      <c r="Q20" s="21"/>
      <c r="R20" s="16" t="str">
        <f t="shared" si="2"/>
        <v>Y</v>
      </c>
      <c r="S20" s="21" t="str">
        <f t="shared" si="9"/>
        <v>N</v>
      </c>
      <c r="T20" s="21" t="str">
        <f t="shared" si="10"/>
        <v>N</v>
      </c>
      <c r="U20" s="21" t="str">
        <f t="shared" si="4"/>
        <v>Y</v>
      </c>
      <c r="V20" s="16" t="str">
        <f t="shared" si="5"/>
        <v>N</v>
      </c>
      <c r="W20" s="21" t="str">
        <f t="shared" si="12"/>
        <v>N</v>
      </c>
      <c r="X20" s="21" t="str">
        <f t="shared" si="12"/>
        <v>N</v>
      </c>
      <c r="Y20" s="21" t="str">
        <f t="shared" si="6"/>
        <v>N</v>
      </c>
      <c r="Z20" s="16" t="str">
        <f t="shared" si="11"/>
        <v>N</v>
      </c>
      <c r="AA20" s="16" t="s">
        <v>15</v>
      </c>
      <c r="AB20" s="16" t="s">
        <v>15</v>
      </c>
      <c r="AC20" s="21" t="s">
        <v>16</v>
      </c>
    </row>
    <row r="21" spans="1:29">
      <c r="A21" s="23">
        <v>28</v>
      </c>
      <c r="B21" s="12">
        <v>0.4770949074074074</v>
      </c>
      <c r="C21" s="12">
        <v>0.4773148148148148</v>
      </c>
      <c r="D21" s="13">
        <v>2.1990740740740478E-4</v>
      </c>
      <c r="E21" s="14">
        <v>18.999999999999773</v>
      </c>
      <c r="F21" s="15">
        <v>1.2631578947368571</v>
      </c>
      <c r="G21" s="16" t="s">
        <v>247</v>
      </c>
      <c r="H21" s="16" t="s">
        <v>14</v>
      </c>
      <c r="I21" s="16">
        <v>24</v>
      </c>
      <c r="J21" s="16" t="s">
        <v>15</v>
      </c>
      <c r="K21" s="16" t="s">
        <v>15</v>
      </c>
      <c r="L21" s="16" t="s">
        <v>15</v>
      </c>
      <c r="M21" s="16" t="s">
        <v>15</v>
      </c>
      <c r="N21" s="16" t="s">
        <v>15</v>
      </c>
      <c r="O21" s="16" t="s">
        <v>20</v>
      </c>
      <c r="P21" s="16" t="s">
        <v>16</v>
      </c>
      <c r="Q21" s="16"/>
      <c r="R21" s="16" t="str">
        <f t="shared" si="2"/>
        <v>N</v>
      </c>
      <c r="S21" s="21" t="str">
        <f t="shared" si="9"/>
        <v>Y</v>
      </c>
      <c r="T21" s="21" t="str">
        <f t="shared" si="10"/>
        <v>N</v>
      </c>
      <c r="U21" s="21" t="str">
        <f t="shared" si="4"/>
        <v>Y</v>
      </c>
      <c r="V21" s="16" t="str">
        <f t="shared" si="5"/>
        <v>N</v>
      </c>
      <c r="W21" s="21" t="str">
        <f t="shared" si="12"/>
        <v>N</v>
      </c>
      <c r="X21" s="21" t="str">
        <f t="shared" si="12"/>
        <v>N</v>
      </c>
      <c r="Y21" s="21" t="str">
        <f t="shared" si="6"/>
        <v>N</v>
      </c>
      <c r="Z21" s="16" t="str">
        <f t="shared" si="11"/>
        <v>N</v>
      </c>
      <c r="AA21" s="16" t="s">
        <v>15</v>
      </c>
      <c r="AB21" s="16" t="s">
        <v>15</v>
      </c>
      <c r="AC21" s="21" t="s">
        <v>16</v>
      </c>
    </row>
    <row r="22" spans="1:29" hidden="1">
      <c r="A22" s="22">
        <v>29</v>
      </c>
      <c r="B22" s="17">
        <v>0.47712962962962963</v>
      </c>
      <c r="C22" s="17">
        <v>0.47728009259259263</v>
      </c>
      <c r="D22" s="18">
        <v>1.5046296296300499E-4</v>
      </c>
      <c r="E22" s="19">
        <v>13.000000000003631</v>
      </c>
      <c r="F22" s="20">
        <v>1.8461538461533304</v>
      </c>
      <c r="G22" s="21" t="s">
        <v>234</v>
      </c>
      <c r="H22" s="21" t="s">
        <v>14</v>
      </c>
      <c r="I22" s="21">
        <v>24</v>
      </c>
      <c r="J22" s="21" t="s">
        <v>15</v>
      </c>
      <c r="K22" s="21" t="s">
        <v>15</v>
      </c>
      <c r="L22" s="21" t="s">
        <v>15</v>
      </c>
      <c r="M22" s="21" t="s">
        <v>15</v>
      </c>
      <c r="N22" s="21" t="s">
        <v>15</v>
      </c>
      <c r="O22" s="21" t="s">
        <v>20</v>
      </c>
      <c r="P22" s="21"/>
      <c r="Q22" s="21">
        <v>28</v>
      </c>
      <c r="R22" s="16" t="str">
        <f t="shared" si="2"/>
        <v>N</v>
      </c>
      <c r="S22" s="21" t="str">
        <f t="shared" si="9"/>
        <v>N</v>
      </c>
      <c r="T22" s="21" t="str">
        <f t="shared" si="10"/>
        <v>Y</v>
      </c>
      <c r="U22" s="21" t="str">
        <f t="shared" si="4"/>
        <v>Y</v>
      </c>
      <c r="V22" s="16" t="str">
        <f t="shared" si="5"/>
        <v>N</v>
      </c>
      <c r="W22" s="21" t="str">
        <f t="shared" si="12"/>
        <v>N</v>
      </c>
      <c r="X22" s="21" t="str">
        <f t="shared" si="12"/>
        <v>N</v>
      </c>
      <c r="Y22" s="21" t="str">
        <f t="shared" si="6"/>
        <v>N</v>
      </c>
      <c r="Z22" s="16" t="str">
        <f t="shared" si="11"/>
        <v>N</v>
      </c>
      <c r="AA22" s="16" t="s">
        <v>15</v>
      </c>
      <c r="AB22" s="16" t="s">
        <v>15</v>
      </c>
      <c r="AC22" s="21" t="s">
        <v>15</v>
      </c>
    </row>
    <row r="23" spans="1:29">
      <c r="A23" s="23">
        <v>32</v>
      </c>
      <c r="B23" s="12">
        <v>0.47729166666666667</v>
      </c>
      <c r="C23" s="12">
        <v>0.47745370370370371</v>
      </c>
      <c r="D23" s="13">
        <v>1.6203703703704386E-4</v>
      </c>
      <c r="E23" s="14">
        <v>14.00000000000059</v>
      </c>
      <c r="F23" s="15">
        <v>1.714285714285642</v>
      </c>
      <c r="G23" s="16" t="s">
        <v>121</v>
      </c>
      <c r="H23" s="16" t="s">
        <v>14</v>
      </c>
      <c r="I23" s="16">
        <v>24</v>
      </c>
      <c r="J23" s="16" t="s">
        <v>15</v>
      </c>
      <c r="K23" s="16" t="s">
        <v>15</v>
      </c>
      <c r="L23" s="16" t="s">
        <v>15</v>
      </c>
      <c r="M23" s="16" t="s">
        <v>15</v>
      </c>
      <c r="N23" s="16" t="s">
        <v>15</v>
      </c>
      <c r="O23" s="16" t="s">
        <v>20</v>
      </c>
      <c r="P23" s="16"/>
      <c r="Q23" s="16"/>
      <c r="R23" s="16" t="str">
        <f t="shared" si="2"/>
        <v>N</v>
      </c>
      <c r="S23" s="21" t="str">
        <f t="shared" si="9"/>
        <v>N</v>
      </c>
      <c r="T23" s="21" t="str">
        <f t="shared" si="10"/>
        <v>N</v>
      </c>
      <c r="U23" s="21" t="str">
        <f t="shared" si="4"/>
        <v>N</v>
      </c>
      <c r="V23" s="16" t="str">
        <f t="shared" si="5"/>
        <v>N</v>
      </c>
      <c r="W23" s="21" t="str">
        <f t="shared" si="12"/>
        <v>N</v>
      </c>
      <c r="X23" s="21" t="str">
        <f t="shared" si="12"/>
        <v>N</v>
      </c>
      <c r="Y23" s="21" t="str">
        <f t="shared" si="6"/>
        <v>N</v>
      </c>
      <c r="Z23" s="16" t="str">
        <f t="shared" si="11"/>
        <v>N</v>
      </c>
      <c r="AA23" s="16" t="s">
        <v>15</v>
      </c>
      <c r="AB23" s="16" t="s">
        <v>15</v>
      </c>
      <c r="AC23" s="21" t="s">
        <v>16</v>
      </c>
    </row>
    <row r="24" spans="1:29">
      <c r="A24" s="22">
        <v>33</v>
      </c>
      <c r="B24" s="17">
        <v>0.47732638888888884</v>
      </c>
      <c r="C24" s="17">
        <v>0.47759259259259257</v>
      </c>
      <c r="D24" s="18">
        <v>2.6620370370372681E-4</v>
      </c>
      <c r="E24" s="19">
        <v>23.000000000001997</v>
      </c>
      <c r="F24" s="20">
        <v>1.0434782608694746</v>
      </c>
      <c r="G24" s="21" t="s">
        <v>38</v>
      </c>
      <c r="H24" s="21" t="s">
        <v>14</v>
      </c>
      <c r="I24" s="21">
        <v>24</v>
      </c>
      <c r="J24" s="21" t="s">
        <v>15</v>
      </c>
      <c r="K24" s="21" t="s">
        <v>16</v>
      </c>
      <c r="L24" s="21" t="s">
        <v>16</v>
      </c>
      <c r="M24" s="21" t="s">
        <v>15</v>
      </c>
      <c r="N24" s="21" t="s">
        <v>16</v>
      </c>
      <c r="O24" s="21" t="s">
        <v>17</v>
      </c>
      <c r="P24" s="21"/>
      <c r="Q24" s="21"/>
      <c r="R24" s="16" t="str">
        <f t="shared" si="2"/>
        <v>N</v>
      </c>
      <c r="S24" s="21" t="str">
        <f t="shared" si="9"/>
        <v>N</v>
      </c>
      <c r="T24" s="21" t="str">
        <f t="shared" si="10"/>
        <v>N</v>
      </c>
      <c r="U24" s="21" t="str">
        <f t="shared" si="4"/>
        <v>N</v>
      </c>
      <c r="V24" s="16" t="str">
        <f t="shared" si="5"/>
        <v>N</v>
      </c>
      <c r="W24" s="21" t="str">
        <f t="shared" si="12"/>
        <v>N</v>
      </c>
      <c r="X24" s="21" t="str">
        <f t="shared" si="12"/>
        <v>N</v>
      </c>
      <c r="Y24" s="21" t="str">
        <f t="shared" si="6"/>
        <v>N</v>
      </c>
      <c r="Z24" s="16" t="str">
        <f t="shared" si="11"/>
        <v>N</v>
      </c>
      <c r="AA24" s="16" t="s">
        <v>15</v>
      </c>
      <c r="AB24" s="16" t="s">
        <v>15</v>
      </c>
      <c r="AC24" s="21" t="s">
        <v>16</v>
      </c>
    </row>
    <row r="25" spans="1:29" hidden="1">
      <c r="A25" s="23">
        <v>35</v>
      </c>
      <c r="B25" s="12">
        <v>0.47738425925925926</v>
      </c>
      <c r="C25" s="12">
        <v>0.47765046296296299</v>
      </c>
      <c r="D25" s="13">
        <v>2.6620370370372681E-4</v>
      </c>
      <c r="E25" s="14">
        <v>23.000000000001997</v>
      </c>
      <c r="F25" s="15">
        <v>1.0434782608694746</v>
      </c>
      <c r="G25" s="16" t="s">
        <v>248</v>
      </c>
      <c r="H25" s="16" t="s">
        <v>14</v>
      </c>
      <c r="I25" s="16">
        <v>24</v>
      </c>
      <c r="J25" s="16" t="s">
        <v>15</v>
      </c>
      <c r="K25" s="16" t="s">
        <v>16</v>
      </c>
      <c r="L25" s="16" t="s">
        <v>16</v>
      </c>
      <c r="M25" s="16" t="s">
        <v>15</v>
      </c>
      <c r="N25" s="16" t="s">
        <v>16</v>
      </c>
      <c r="O25" s="16" t="s">
        <v>20</v>
      </c>
      <c r="P25" s="16"/>
      <c r="Q25" s="16"/>
      <c r="R25" s="16" t="str">
        <f t="shared" si="2"/>
        <v>Y</v>
      </c>
      <c r="S25" s="21" t="str">
        <f t="shared" si="9"/>
        <v>N</v>
      </c>
      <c r="T25" s="21" t="str">
        <f t="shared" si="10"/>
        <v>N</v>
      </c>
      <c r="U25" s="21" t="str">
        <f t="shared" si="4"/>
        <v>Y</v>
      </c>
      <c r="V25" s="16" t="str">
        <f t="shared" si="5"/>
        <v>N</v>
      </c>
      <c r="W25" s="21" t="str">
        <f t="shared" si="12"/>
        <v>N</v>
      </c>
      <c r="X25" s="21" t="str">
        <f t="shared" si="12"/>
        <v>N</v>
      </c>
      <c r="Y25" s="21" t="str">
        <f t="shared" si="6"/>
        <v>N</v>
      </c>
      <c r="Z25" s="16" t="str">
        <f t="shared" si="11"/>
        <v>N</v>
      </c>
      <c r="AA25" s="16" t="s">
        <v>15</v>
      </c>
      <c r="AB25" s="16" t="s">
        <v>15</v>
      </c>
      <c r="AC25" s="21" t="s">
        <v>15</v>
      </c>
    </row>
    <row r="26" spans="1:29" hidden="1">
      <c r="A26" s="22">
        <v>38</v>
      </c>
      <c r="B26" s="17">
        <v>0.47750000000000004</v>
      </c>
      <c r="C26" s="17">
        <v>0.47771990740740744</v>
      </c>
      <c r="D26" s="18">
        <v>2.1990740740740478E-4</v>
      </c>
      <c r="E26" s="19">
        <v>18.999999999999773</v>
      </c>
      <c r="F26" s="20">
        <v>1.2631578947368571</v>
      </c>
      <c r="G26" s="21" t="s">
        <v>34</v>
      </c>
      <c r="H26" s="21" t="s">
        <v>14</v>
      </c>
      <c r="I26" s="21">
        <v>24</v>
      </c>
      <c r="J26" s="21" t="s">
        <v>16</v>
      </c>
      <c r="K26" s="21" t="s">
        <v>15</v>
      </c>
      <c r="L26" s="21" t="s">
        <v>15</v>
      </c>
      <c r="M26" s="21" t="s">
        <v>30</v>
      </c>
      <c r="N26" s="21" t="s">
        <v>15</v>
      </c>
      <c r="O26" s="21" t="s">
        <v>17</v>
      </c>
      <c r="P26" s="21"/>
      <c r="Q26" s="21"/>
      <c r="R26" s="16" t="str">
        <f t="shared" si="2"/>
        <v>Y</v>
      </c>
      <c r="S26" s="21" t="str">
        <f t="shared" si="9"/>
        <v>Y</v>
      </c>
      <c r="T26" s="21" t="str">
        <f t="shared" si="10"/>
        <v>N</v>
      </c>
      <c r="U26" s="21" t="str">
        <f t="shared" si="4"/>
        <v>Y</v>
      </c>
      <c r="V26" s="16" t="str">
        <f t="shared" si="5"/>
        <v>N</v>
      </c>
      <c r="W26" s="21" t="str">
        <f t="shared" si="12"/>
        <v>N</v>
      </c>
      <c r="X26" s="21" t="str">
        <f t="shared" si="12"/>
        <v>N</v>
      </c>
      <c r="Y26" s="21" t="str">
        <f t="shared" si="6"/>
        <v>N</v>
      </c>
      <c r="Z26" s="16" t="str">
        <f t="shared" si="11"/>
        <v>N</v>
      </c>
      <c r="AA26" s="16" t="s">
        <v>15</v>
      </c>
      <c r="AB26" s="16" t="s">
        <v>15</v>
      </c>
      <c r="AC26" s="21" t="s">
        <v>15</v>
      </c>
    </row>
    <row r="27" spans="1:29" hidden="1">
      <c r="A27" s="23">
        <v>39</v>
      </c>
      <c r="B27" s="12">
        <v>0.47750000000000004</v>
      </c>
      <c r="C27" s="12">
        <v>0.47771990740740744</v>
      </c>
      <c r="D27" s="13">
        <v>2.1990740740740478E-4</v>
      </c>
      <c r="E27" s="14">
        <v>18.999999999999773</v>
      </c>
      <c r="F27" s="15">
        <v>1.2631578947368571</v>
      </c>
      <c r="G27" s="16" t="s">
        <v>33</v>
      </c>
      <c r="H27" s="16" t="s">
        <v>14</v>
      </c>
      <c r="I27" s="16">
        <v>24</v>
      </c>
      <c r="J27" s="16" t="s">
        <v>16</v>
      </c>
      <c r="K27" s="16" t="s">
        <v>15</v>
      </c>
      <c r="L27" s="16" t="s">
        <v>15</v>
      </c>
      <c r="M27" s="16" t="s">
        <v>15</v>
      </c>
      <c r="N27" s="16" t="s">
        <v>15</v>
      </c>
      <c r="O27" s="16" t="s">
        <v>20</v>
      </c>
      <c r="P27" s="16"/>
      <c r="Q27" s="16"/>
      <c r="R27" s="16" t="str">
        <f t="shared" si="2"/>
        <v>N</v>
      </c>
      <c r="S27" s="21" t="str">
        <f t="shared" si="9"/>
        <v>Y</v>
      </c>
      <c r="T27" s="21" t="str">
        <f t="shared" si="10"/>
        <v>Y</v>
      </c>
      <c r="U27" s="21" t="str">
        <f t="shared" si="4"/>
        <v>Y</v>
      </c>
      <c r="V27" s="16" t="str">
        <f t="shared" si="5"/>
        <v>N</v>
      </c>
      <c r="W27" s="21" t="str">
        <f t="shared" si="12"/>
        <v>N</v>
      </c>
      <c r="X27" s="21" t="str">
        <f t="shared" si="12"/>
        <v>N</v>
      </c>
      <c r="Y27" s="21" t="str">
        <f t="shared" si="6"/>
        <v>N</v>
      </c>
      <c r="Z27" s="16" t="str">
        <f t="shared" si="11"/>
        <v>Y</v>
      </c>
      <c r="AA27" s="16" t="s">
        <v>15</v>
      </c>
      <c r="AB27" s="16" t="s">
        <v>15</v>
      </c>
      <c r="AC27" s="21" t="s">
        <v>15</v>
      </c>
    </row>
    <row r="28" spans="1:29" hidden="1">
      <c r="A28" s="22">
        <v>40</v>
      </c>
      <c r="B28" s="17">
        <v>0.4775578703703704</v>
      </c>
      <c r="C28" s="17">
        <v>0.47774305555555552</v>
      </c>
      <c r="D28" s="18">
        <v>1.8518518518512161E-4</v>
      </c>
      <c r="E28" s="19">
        <v>15.999999999994508</v>
      </c>
      <c r="F28" s="20">
        <v>1.5000000000005149</v>
      </c>
      <c r="G28" s="21" t="s">
        <v>231</v>
      </c>
      <c r="H28" s="21" t="s">
        <v>14</v>
      </c>
      <c r="I28" s="21">
        <v>24</v>
      </c>
      <c r="J28" s="21" t="s">
        <v>15</v>
      </c>
      <c r="K28" s="21" t="s">
        <v>15</v>
      </c>
      <c r="L28" s="21" t="s">
        <v>15</v>
      </c>
      <c r="M28" s="21" t="s">
        <v>15</v>
      </c>
      <c r="N28" s="21" t="s">
        <v>16</v>
      </c>
      <c r="O28" s="21" t="s">
        <v>20</v>
      </c>
      <c r="P28" s="21"/>
      <c r="Q28" s="21"/>
      <c r="R28" s="16" t="str">
        <f t="shared" si="2"/>
        <v>N</v>
      </c>
      <c r="S28" s="21" t="str">
        <f t="shared" si="9"/>
        <v>N</v>
      </c>
      <c r="T28" s="21" t="str">
        <f t="shared" si="10"/>
        <v>Y</v>
      </c>
      <c r="U28" s="21" t="str">
        <f t="shared" si="4"/>
        <v>Y</v>
      </c>
      <c r="V28" s="16" t="str">
        <f t="shared" si="5"/>
        <v>N</v>
      </c>
      <c r="W28" s="21" t="str">
        <f t="shared" si="12"/>
        <v>N</v>
      </c>
      <c r="X28" s="21" t="str">
        <f t="shared" si="12"/>
        <v>N</v>
      </c>
      <c r="Y28" s="21" t="str">
        <f t="shared" si="6"/>
        <v>N</v>
      </c>
      <c r="Z28" s="16" t="str">
        <f t="shared" si="11"/>
        <v>Y</v>
      </c>
      <c r="AA28" s="16" t="s">
        <v>15</v>
      </c>
      <c r="AB28" s="16" t="s">
        <v>15</v>
      </c>
      <c r="AC28" s="21" t="s">
        <v>15</v>
      </c>
    </row>
    <row r="29" spans="1:29" hidden="1">
      <c r="A29" s="23">
        <v>41</v>
      </c>
      <c r="B29" s="12">
        <v>0.47767361111111112</v>
      </c>
      <c r="C29" s="12">
        <v>0.4778587962962963</v>
      </c>
      <c r="D29" s="13">
        <v>1.8518518518517713E-4</v>
      </c>
      <c r="E29" s="14">
        <v>15.999999999999304</v>
      </c>
      <c r="F29" s="15">
        <v>1.5000000000000653</v>
      </c>
      <c r="G29" s="16" t="s">
        <v>32</v>
      </c>
      <c r="H29" s="16" t="s">
        <v>14</v>
      </c>
      <c r="I29" s="16">
        <v>24</v>
      </c>
      <c r="J29" s="16" t="s">
        <v>15</v>
      </c>
      <c r="K29" s="16" t="s">
        <v>16</v>
      </c>
      <c r="L29" s="16" t="s">
        <v>16</v>
      </c>
      <c r="M29" s="16" t="s">
        <v>15</v>
      </c>
      <c r="N29" s="16" t="s">
        <v>16</v>
      </c>
      <c r="O29" s="16" t="s">
        <v>17</v>
      </c>
      <c r="P29" s="16"/>
      <c r="Q29" s="16"/>
      <c r="R29" s="16" t="str">
        <f t="shared" si="2"/>
        <v>N</v>
      </c>
      <c r="S29" s="21" t="str">
        <f t="shared" si="9"/>
        <v>N</v>
      </c>
      <c r="T29" s="21" t="str">
        <f t="shared" si="10"/>
        <v>N</v>
      </c>
      <c r="U29" s="21" t="str">
        <f t="shared" si="4"/>
        <v>N</v>
      </c>
      <c r="V29" s="16" t="str">
        <f t="shared" si="5"/>
        <v>N</v>
      </c>
      <c r="W29" s="21" t="str">
        <f t="shared" si="12"/>
        <v>N</v>
      </c>
      <c r="X29" s="21" t="str">
        <f t="shared" si="12"/>
        <v>N</v>
      </c>
      <c r="Y29" s="21" t="str">
        <f t="shared" si="6"/>
        <v>N</v>
      </c>
      <c r="Z29" s="16" t="str">
        <f t="shared" si="11"/>
        <v>N</v>
      </c>
      <c r="AA29" s="16" t="s">
        <v>15</v>
      </c>
      <c r="AB29" s="16" t="s">
        <v>15</v>
      </c>
      <c r="AC29" s="21" t="s">
        <v>15</v>
      </c>
    </row>
    <row r="30" spans="1:29" hidden="1">
      <c r="A30" s="22">
        <v>44</v>
      </c>
      <c r="B30" s="17">
        <v>0.47776620370370365</v>
      </c>
      <c r="C30" s="17">
        <v>0.47796296296296298</v>
      </c>
      <c r="D30" s="18">
        <v>1.9675925925932702E-4</v>
      </c>
      <c r="E30" s="19">
        <v>17.000000000005855</v>
      </c>
      <c r="F30" s="20">
        <v>1.4117647058818668</v>
      </c>
      <c r="G30" s="21" t="s">
        <v>27</v>
      </c>
      <c r="H30" s="21" t="s">
        <v>14</v>
      </c>
      <c r="I30" s="21">
        <v>24</v>
      </c>
      <c r="J30" s="21" t="s">
        <v>15</v>
      </c>
      <c r="K30" s="21" t="s">
        <v>16</v>
      </c>
      <c r="L30" s="21" t="s">
        <v>16</v>
      </c>
      <c r="M30" s="21" t="s">
        <v>15</v>
      </c>
      <c r="N30" s="21" t="s">
        <v>28</v>
      </c>
      <c r="O30" s="21" t="s">
        <v>17</v>
      </c>
      <c r="P30" s="21"/>
      <c r="Q30" s="21"/>
      <c r="R30" s="16" t="str">
        <f t="shared" si="2"/>
        <v>Y</v>
      </c>
      <c r="S30" s="21" t="str">
        <f t="shared" si="9"/>
        <v>N</v>
      </c>
      <c r="T30" s="21" t="str">
        <f t="shared" si="10"/>
        <v>N</v>
      </c>
      <c r="U30" s="21" t="str">
        <f t="shared" si="4"/>
        <v>Y</v>
      </c>
      <c r="V30" s="16" t="str">
        <f t="shared" si="5"/>
        <v>N</v>
      </c>
      <c r="W30" s="21" t="str">
        <f t="shared" si="12"/>
        <v>N</v>
      </c>
      <c r="X30" s="21" t="str">
        <f t="shared" si="12"/>
        <v>N</v>
      </c>
      <c r="Y30" s="21" t="str">
        <f t="shared" si="6"/>
        <v>N</v>
      </c>
      <c r="Z30" s="16" t="str">
        <f t="shared" si="11"/>
        <v>N</v>
      </c>
      <c r="AA30" s="16" t="s">
        <v>15</v>
      </c>
      <c r="AB30" s="16" t="s">
        <v>15</v>
      </c>
      <c r="AC30" s="21" t="s">
        <v>15</v>
      </c>
    </row>
    <row r="31" spans="1:29" hidden="1">
      <c r="A31" s="23">
        <v>47</v>
      </c>
      <c r="B31" s="12">
        <v>0.47791666666666671</v>
      </c>
      <c r="C31" s="12">
        <v>0.47813657407407412</v>
      </c>
      <c r="D31" s="13">
        <v>2.1990740740740478E-4</v>
      </c>
      <c r="E31" s="14">
        <v>18.999999999999773</v>
      </c>
      <c r="F31" s="15">
        <v>1.2631578947368571</v>
      </c>
      <c r="G31" s="16" t="s">
        <v>24</v>
      </c>
      <c r="H31" s="16" t="s">
        <v>14</v>
      </c>
      <c r="I31" s="16">
        <v>24</v>
      </c>
      <c r="J31" s="16" t="s">
        <v>15</v>
      </c>
      <c r="K31" s="16" t="s">
        <v>16</v>
      </c>
      <c r="L31" s="16" t="s">
        <v>16</v>
      </c>
      <c r="M31" s="16" t="s">
        <v>15</v>
      </c>
      <c r="N31" s="16" t="s">
        <v>16</v>
      </c>
      <c r="O31" s="16" t="s">
        <v>20</v>
      </c>
      <c r="P31" s="16"/>
      <c r="Q31" s="16"/>
      <c r="R31" s="16" t="str">
        <f t="shared" si="2"/>
        <v>Y</v>
      </c>
      <c r="S31" s="21" t="str">
        <f t="shared" si="9"/>
        <v>Y</v>
      </c>
      <c r="T31" s="21" t="str">
        <f t="shared" si="10"/>
        <v>N</v>
      </c>
      <c r="U31" s="21" t="str">
        <f t="shared" si="4"/>
        <v>Y</v>
      </c>
      <c r="V31" s="16" t="str">
        <f t="shared" si="5"/>
        <v>N</v>
      </c>
      <c r="W31" s="21" t="str">
        <f t="shared" si="12"/>
        <v>N</v>
      </c>
      <c r="X31" s="21" t="str">
        <f t="shared" si="12"/>
        <v>N</v>
      </c>
      <c r="Y31" s="21" t="str">
        <f t="shared" si="6"/>
        <v>N</v>
      </c>
      <c r="Z31" s="16" t="str">
        <f t="shared" si="11"/>
        <v>N</v>
      </c>
      <c r="AA31" s="16" t="s">
        <v>15</v>
      </c>
      <c r="AB31" s="16" t="s">
        <v>15</v>
      </c>
      <c r="AC31" s="21" t="s">
        <v>15</v>
      </c>
    </row>
    <row r="32" spans="1:29" hidden="1">
      <c r="A32" s="22">
        <v>50</v>
      </c>
      <c r="B32" s="17">
        <v>0.47802083333333334</v>
      </c>
      <c r="C32" s="17">
        <v>0.47847222222222219</v>
      </c>
      <c r="D32" s="18">
        <v>4.5138888888884843E-4</v>
      </c>
      <c r="E32" s="19">
        <v>38.999999999996504</v>
      </c>
      <c r="F32" s="20">
        <v>0.6153846153846706</v>
      </c>
      <c r="G32" s="21" t="s">
        <v>22</v>
      </c>
      <c r="H32" s="21" t="s">
        <v>14</v>
      </c>
      <c r="I32" s="21">
        <v>24</v>
      </c>
      <c r="J32" s="21" t="s">
        <v>15</v>
      </c>
      <c r="K32" s="21" t="s">
        <v>15</v>
      </c>
      <c r="L32" s="21" t="s">
        <v>15</v>
      </c>
      <c r="M32" s="21" t="s">
        <v>15</v>
      </c>
      <c r="N32" s="21" t="s">
        <v>15</v>
      </c>
      <c r="O32" s="21" t="s">
        <v>17</v>
      </c>
      <c r="P32" s="21" t="s">
        <v>16</v>
      </c>
      <c r="Q32" s="21"/>
      <c r="R32" s="16" t="str">
        <f t="shared" si="2"/>
        <v>Y</v>
      </c>
      <c r="S32" s="21" t="str">
        <f t="shared" si="9"/>
        <v>Y</v>
      </c>
      <c r="T32" s="21" t="str">
        <f t="shared" si="10"/>
        <v>Y</v>
      </c>
      <c r="U32" s="21" t="str">
        <f t="shared" si="4"/>
        <v>Y</v>
      </c>
      <c r="V32" s="16" t="str">
        <f t="shared" si="5"/>
        <v>N</v>
      </c>
      <c r="W32" s="21" t="str">
        <f t="shared" si="12"/>
        <v>N</v>
      </c>
      <c r="X32" s="21" t="str">
        <f t="shared" si="12"/>
        <v>N</v>
      </c>
      <c r="Y32" s="21" t="str">
        <f t="shared" si="6"/>
        <v>N</v>
      </c>
      <c r="Z32" s="16" t="str">
        <f t="shared" si="11"/>
        <v>N</v>
      </c>
      <c r="AA32" s="16" t="s">
        <v>15</v>
      </c>
      <c r="AB32" s="16" t="s">
        <v>15</v>
      </c>
      <c r="AC32" s="21" t="s">
        <v>15</v>
      </c>
    </row>
    <row r="33" spans="1:29" hidden="1">
      <c r="A33" s="23">
        <v>51</v>
      </c>
      <c r="B33" s="12">
        <v>0.47804398148148147</v>
      </c>
      <c r="C33" s="12">
        <v>0.47821759259259261</v>
      </c>
      <c r="D33" s="13">
        <v>1.7361111111113825E-4</v>
      </c>
      <c r="E33" s="14">
        <v>15.000000000002345</v>
      </c>
      <c r="F33" s="15">
        <v>1.5999999999997498</v>
      </c>
      <c r="G33" s="16" t="s">
        <v>21</v>
      </c>
      <c r="H33" s="16" t="s">
        <v>14</v>
      </c>
      <c r="I33" s="16">
        <v>24</v>
      </c>
      <c r="J33" s="16" t="s">
        <v>15</v>
      </c>
      <c r="K33" s="16" t="s">
        <v>15</v>
      </c>
      <c r="L33" s="16" t="s">
        <v>15</v>
      </c>
      <c r="M33" s="16" t="s">
        <v>15</v>
      </c>
      <c r="N33" s="16" t="s">
        <v>15</v>
      </c>
      <c r="O33" s="16" t="s">
        <v>17</v>
      </c>
      <c r="P33" s="16"/>
      <c r="Q33" s="16">
        <v>50</v>
      </c>
      <c r="R33" s="16" t="str">
        <f t="shared" si="2"/>
        <v>N</v>
      </c>
      <c r="S33" s="21" t="str">
        <f t="shared" si="9"/>
        <v>Y</v>
      </c>
      <c r="T33" s="21" t="str">
        <f t="shared" si="10"/>
        <v>Y</v>
      </c>
      <c r="U33" s="21" t="str">
        <f t="shared" si="4"/>
        <v>Y</v>
      </c>
      <c r="V33" s="16" t="str">
        <f t="shared" si="5"/>
        <v>N</v>
      </c>
      <c r="W33" s="21" t="str">
        <f t="shared" si="12"/>
        <v>N</v>
      </c>
      <c r="X33" s="21" t="str">
        <f t="shared" si="12"/>
        <v>N</v>
      </c>
      <c r="Y33" s="21" t="str">
        <f t="shared" si="6"/>
        <v>N</v>
      </c>
      <c r="Z33" s="16" t="str">
        <f t="shared" si="11"/>
        <v>N</v>
      </c>
      <c r="AA33" s="16" t="s">
        <v>15</v>
      </c>
      <c r="AB33" s="16" t="s">
        <v>15</v>
      </c>
      <c r="AC33" s="21" t="s">
        <v>15</v>
      </c>
    </row>
    <row r="34" spans="1:29" hidden="1">
      <c r="A34" s="22">
        <v>53</v>
      </c>
      <c r="B34" s="17">
        <v>0.47809027777777779</v>
      </c>
      <c r="C34" s="17">
        <v>0.47828703703703707</v>
      </c>
      <c r="D34" s="18">
        <v>1.9675925925927151E-4</v>
      </c>
      <c r="E34" s="19">
        <v>17.000000000001059</v>
      </c>
      <c r="F34" s="20">
        <v>1.4117647058822651</v>
      </c>
      <c r="G34" s="21" t="s">
        <v>233</v>
      </c>
      <c r="H34" s="21" t="s">
        <v>14</v>
      </c>
      <c r="I34" s="21">
        <v>24</v>
      </c>
      <c r="J34" s="21" t="s">
        <v>15</v>
      </c>
      <c r="K34" s="21" t="s">
        <v>16</v>
      </c>
      <c r="L34" s="21" t="s">
        <v>16</v>
      </c>
      <c r="M34" s="21" t="s">
        <v>15</v>
      </c>
      <c r="N34" s="21" t="s">
        <v>16</v>
      </c>
      <c r="O34" s="21" t="s">
        <v>17</v>
      </c>
      <c r="P34" s="21"/>
      <c r="Q34" s="21"/>
      <c r="R34" s="16" t="str">
        <f t="shared" si="2"/>
        <v>N</v>
      </c>
      <c r="S34" s="21" t="str">
        <f t="shared" si="9"/>
        <v>N</v>
      </c>
      <c r="T34" s="21" t="str">
        <f t="shared" si="10"/>
        <v>Y</v>
      </c>
      <c r="U34" s="21" t="str">
        <f t="shared" si="4"/>
        <v>Y</v>
      </c>
      <c r="V34" s="16" t="str">
        <f t="shared" si="5"/>
        <v>N</v>
      </c>
      <c r="W34" s="21" t="str">
        <f t="shared" si="12"/>
        <v>N</v>
      </c>
      <c r="X34" s="21" t="str">
        <f t="shared" si="12"/>
        <v>N</v>
      </c>
      <c r="Y34" s="21" t="str">
        <f t="shared" si="6"/>
        <v>N</v>
      </c>
      <c r="Z34" s="16" t="str">
        <f t="shared" si="11"/>
        <v>N</v>
      </c>
      <c r="AA34" s="16" t="s">
        <v>15</v>
      </c>
      <c r="AB34" s="16" t="s">
        <v>15</v>
      </c>
      <c r="AC34" s="21" t="s">
        <v>15</v>
      </c>
    </row>
    <row r="35" spans="1:29" hidden="1">
      <c r="A35" s="23">
        <v>54</v>
      </c>
      <c r="B35" s="12">
        <v>0.47810185185185183</v>
      </c>
      <c r="C35" s="12">
        <v>0.47844907407407405</v>
      </c>
      <c r="D35" s="13">
        <v>3.4722222222222099E-4</v>
      </c>
      <c r="E35" s="14">
        <v>29.999999999999893</v>
      </c>
      <c r="F35" s="15">
        <v>0.80000000000000282</v>
      </c>
      <c r="G35" s="16" t="s">
        <v>92</v>
      </c>
      <c r="H35" s="16" t="s">
        <v>14</v>
      </c>
      <c r="I35" s="16">
        <v>24</v>
      </c>
      <c r="J35" s="16" t="s">
        <v>16</v>
      </c>
      <c r="K35" s="16" t="s">
        <v>16</v>
      </c>
      <c r="L35" s="16" t="s">
        <v>16</v>
      </c>
      <c r="M35" s="16" t="s">
        <v>15</v>
      </c>
      <c r="N35" s="16" t="s">
        <v>16</v>
      </c>
      <c r="O35" s="16" t="s">
        <v>17</v>
      </c>
      <c r="P35" s="16"/>
      <c r="Q35" s="16"/>
      <c r="R35" s="16" t="str">
        <f t="shared" si="2"/>
        <v>Y</v>
      </c>
      <c r="S35" s="21" t="str">
        <f t="shared" si="9"/>
        <v>N</v>
      </c>
      <c r="T35" s="21" t="str">
        <f t="shared" si="10"/>
        <v>N</v>
      </c>
      <c r="U35" s="21" t="str">
        <f t="shared" si="4"/>
        <v>Y</v>
      </c>
      <c r="V35" s="16" t="str">
        <f t="shared" si="5"/>
        <v>N</v>
      </c>
      <c r="W35" s="21" t="str">
        <f t="shared" si="12"/>
        <v>N</v>
      </c>
      <c r="X35" s="21" t="str">
        <f t="shared" si="12"/>
        <v>N</v>
      </c>
      <c r="Y35" s="21" t="str">
        <f t="shared" si="6"/>
        <v>N</v>
      </c>
      <c r="Z35" s="16" t="str">
        <f t="shared" si="11"/>
        <v>N</v>
      </c>
      <c r="AA35" s="16" t="s">
        <v>15</v>
      </c>
      <c r="AB35" s="16" t="s">
        <v>15</v>
      </c>
      <c r="AC35" s="21" t="s">
        <v>15</v>
      </c>
    </row>
    <row r="36" spans="1:29">
      <c r="A36" s="22">
        <v>55</v>
      </c>
      <c r="B36" s="24">
        <v>0.47810185185185183</v>
      </c>
      <c r="C36" s="17">
        <v>0.47844907407407405</v>
      </c>
      <c r="D36" s="18">
        <v>3.4722222222222099E-4</v>
      </c>
      <c r="E36" s="19">
        <v>29.999999999999893</v>
      </c>
      <c r="F36" s="20">
        <v>0.80000000000000282</v>
      </c>
      <c r="G36" s="21" t="s">
        <v>91</v>
      </c>
      <c r="H36" s="21" t="s">
        <v>14</v>
      </c>
      <c r="I36" s="21">
        <v>24</v>
      </c>
      <c r="J36" s="21" t="s">
        <v>16</v>
      </c>
      <c r="K36" s="21" t="s">
        <v>15</v>
      </c>
      <c r="L36" s="21" t="s">
        <v>15</v>
      </c>
      <c r="M36" s="21" t="s">
        <v>15</v>
      </c>
      <c r="N36" s="21" t="s">
        <v>15</v>
      </c>
      <c r="O36" s="21" t="s">
        <v>90</v>
      </c>
      <c r="P36" s="21"/>
      <c r="Q36" s="21"/>
      <c r="R36" s="16" t="str">
        <f t="shared" si="2"/>
        <v>Y</v>
      </c>
      <c r="S36" s="21" t="str">
        <f t="shared" si="9"/>
        <v>Y</v>
      </c>
      <c r="T36" s="21" t="str">
        <f t="shared" si="10"/>
        <v>N</v>
      </c>
      <c r="U36" s="21" t="str">
        <f t="shared" si="4"/>
        <v>Y</v>
      </c>
      <c r="V36" s="16" t="str">
        <f t="shared" si="5"/>
        <v>N</v>
      </c>
      <c r="W36" s="21" t="str">
        <f t="shared" si="12"/>
        <v>N</v>
      </c>
      <c r="X36" s="21" t="str">
        <f t="shared" si="12"/>
        <v>N</v>
      </c>
      <c r="Y36" s="21" t="str">
        <f t="shared" si="6"/>
        <v>N</v>
      </c>
      <c r="Z36" s="16" t="str">
        <f t="shared" si="11"/>
        <v>Y</v>
      </c>
      <c r="AA36" s="16" t="s">
        <v>15</v>
      </c>
      <c r="AB36" s="16" t="s">
        <v>15</v>
      </c>
      <c r="AC36" s="21" t="s">
        <v>16</v>
      </c>
    </row>
    <row r="37" spans="1:29">
      <c r="A37" s="23">
        <v>59</v>
      </c>
      <c r="B37" s="12">
        <v>0.47849537037037032</v>
      </c>
      <c r="C37" s="12">
        <v>0.47873842592592591</v>
      </c>
      <c r="D37" s="13">
        <v>2.4305555555559355E-4</v>
      </c>
      <c r="E37" s="14">
        <v>21.000000000003283</v>
      </c>
      <c r="F37" s="15">
        <v>1.1428571428569643</v>
      </c>
      <c r="G37" s="16" t="s">
        <v>63</v>
      </c>
      <c r="H37" s="16" t="s">
        <v>14</v>
      </c>
      <c r="I37" s="16">
        <v>24</v>
      </c>
      <c r="J37" s="16" t="s">
        <v>15</v>
      </c>
      <c r="K37" s="16" t="s">
        <v>16</v>
      </c>
      <c r="L37" s="16" t="s">
        <v>16</v>
      </c>
      <c r="M37" s="16" t="s">
        <v>15</v>
      </c>
      <c r="N37" s="16" t="s">
        <v>16</v>
      </c>
      <c r="O37" s="16" t="s">
        <v>20</v>
      </c>
      <c r="P37" s="16"/>
      <c r="Q37" s="16"/>
      <c r="R37" s="16" t="str">
        <f t="shared" si="2"/>
        <v>N</v>
      </c>
      <c r="S37" s="21" t="str">
        <f t="shared" si="9"/>
        <v>Y</v>
      </c>
      <c r="T37" s="21" t="str">
        <f t="shared" si="10"/>
        <v>Y</v>
      </c>
      <c r="U37" s="21" t="str">
        <f t="shared" si="4"/>
        <v>Y</v>
      </c>
      <c r="V37" s="16" t="str">
        <f t="shared" si="5"/>
        <v>N</v>
      </c>
      <c r="W37" s="21" t="str">
        <f t="shared" si="12"/>
        <v>N</v>
      </c>
      <c r="X37" s="21" t="str">
        <f t="shared" si="12"/>
        <v>N</v>
      </c>
      <c r="Y37" s="21" t="str">
        <f t="shared" si="6"/>
        <v>N</v>
      </c>
      <c r="Z37" s="16" t="str">
        <f t="shared" si="11"/>
        <v>Y</v>
      </c>
      <c r="AA37" s="16" t="s">
        <v>15</v>
      </c>
      <c r="AB37" s="16" t="s">
        <v>15</v>
      </c>
      <c r="AC37" s="21" t="s">
        <v>16</v>
      </c>
    </row>
    <row r="38" spans="1:29">
      <c r="A38" s="22">
        <v>60</v>
      </c>
      <c r="B38" s="17">
        <v>0.47859953703703706</v>
      </c>
      <c r="C38" s="17">
        <v>0.47891203703703705</v>
      </c>
      <c r="D38" s="18">
        <v>3.1249999999999334E-4</v>
      </c>
      <c r="E38" s="19">
        <v>26.999999999999424</v>
      </c>
      <c r="F38" s="20">
        <v>0.88888888888890782</v>
      </c>
      <c r="G38" s="21" t="s">
        <v>64</v>
      </c>
      <c r="H38" s="21" t="s">
        <v>14</v>
      </c>
      <c r="I38" s="21">
        <v>24</v>
      </c>
      <c r="J38" s="21" t="s">
        <v>15</v>
      </c>
      <c r="K38" s="21" t="s">
        <v>16</v>
      </c>
      <c r="L38" s="21" t="s">
        <v>16</v>
      </c>
      <c r="M38" s="21" t="s">
        <v>15</v>
      </c>
      <c r="N38" s="21" t="s">
        <v>16</v>
      </c>
      <c r="O38" s="21" t="s">
        <v>20</v>
      </c>
      <c r="P38" s="21" t="s">
        <v>16</v>
      </c>
      <c r="Q38" s="21"/>
      <c r="R38" s="16" t="str">
        <f t="shared" si="2"/>
        <v>Y</v>
      </c>
      <c r="S38" s="21" t="str">
        <f t="shared" si="9"/>
        <v>N</v>
      </c>
      <c r="T38" s="21" t="str">
        <f t="shared" si="10"/>
        <v>Y</v>
      </c>
      <c r="U38" s="21" t="str">
        <f t="shared" si="4"/>
        <v>Y</v>
      </c>
      <c r="V38" s="16" t="str">
        <f t="shared" si="5"/>
        <v>N</v>
      </c>
      <c r="W38" s="21" t="str">
        <f t="shared" si="12"/>
        <v>N</v>
      </c>
      <c r="X38" s="21" t="str">
        <f t="shared" si="12"/>
        <v>N</v>
      </c>
      <c r="Y38" s="21" t="str">
        <f t="shared" si="6"/>
        <v>N</v>
      </c>
      <c r="Z38" s="16" t="str">
        <f t="shared" si="11"/>
        <v>N</v>
      </c>
      <c r="AA38" s="16" t="s">
        <v>15</v>
      </c>
      <c r="AB38" s="16" t="s">
        <v>15</v>
      </c>
      <c r="AC38" s="21" t="s">
        <v>16</v>
      </c>
    </row>
    <row r="39" spans="1:29">
      <c r="A39" s="23">
        <v>62</v>
      </c>
      <c r="B39" s="12">
        <v>0.47864583333333338</v>
      </c>
      <c r="C39" s="12">
        <v>0.47888888888888892</v>
      </c>
      <c r="D39" s="13">
        <v>2.4305555555553804E-4</v>
      </c>
      <c r="E39" s="14">
        <v>20.999999999998487</v>
      </c>
      <c r="F39" s="15">
        <v>1.1428571428572252</v>
      </c>
      <c r="G39" s="16" t="s">
        <v>66</v>
      </c>
      <c r="H39" s="16" t="s">
        <v>14</v>
      </c>
      <c r="I39" s="16">
        <v>24</v>
      </c>
      <c r="J39" s="16" t="s">
        <v>15</v>
      </c>
      <c r="K39" s="16" t="s">
        <v>15</v>
      </c>
      <c r="L39" s="16" t="s">
        <v>15</v>
      </c>
      <c r="M39" s="16" t="s">
        <v>15</v>
      </c>
      <c r="N39" s="16" t="s">
        <v>15</v>
      </c>
      <c r="O39" s="16" t="s">
        <v>20</v>
      </c>
      <c r="P39" s="16"/>
      <c r="Q39" s="16">
        <v>60</v>
      </c>
      <c r="R39" s="16" t="str">
        <f t="shared" si="2"/>
        <v>Y</v>
      </c>
      <c r="S39" s="21" t="str">
        <f t="shared" si="9"/>
        <v>Y</v>
      </c>
      <c r="T39" s="21" t="str">
        <f t="shared" si="10"/>
        <v>N</v>
      </c>
      <c r="U39" s="21" t="str">
        <f t="shared" si="4"/>
        <v>Y</v>
      </c>
      <c r="V39" s="16" t="str">
        <f t="shared" si="5"/>
        <v>N</v>
      </c>
      <c r="W39" s="21" t="str">
        <f t="shared" si="12"/>
        <v>N</v>
      </c>
      <c r="X39" s="21" t="str">
        <f t="shared" si="12"/>
        <v>N</v>
      </c>
      <c r="Y39" s="21" t="str">
        <f t="shared" si="6"/>
        <v>N</v>
      </c>
      <c r="Z39" s="16" t="str">
        <f t="shared" si="11"/>
        <v>N</v>
      </c>
      <c r="AA39" s="16" t="s">
        <v>15</v>
      </c>
      <c r="AB39" s="16" t="s">
        <v>15</v>
      </c>
      <c r="AC39" s="21" t="s">
        <v>16</v>
      </c>
    </row>
    <row r="40" spans="1:29">
      <c r="A40" s="22">
        <v>63</v>
      </c>
      <c r="B40" s="17">
        <v>0.47875000000000001</v>
      </c>
      <c r="C40" s="17">
        <v>0.47893518518518513</v>
      </c>
      <c r="D40" s="18">
        <v>1.8518518518512161E-4</v>
      </c>
      <c r="E40" s="19">
        <v>15.999999999994508</v>
      </c>
      <c r="F40" s="20">
        <v>1.5000000000005149</v>
      </c>
      <c r="G40" s="21" t="s">
        <v>67</v>
      </c>
      <c r="H40" s="21" t="s">
        <v>14</v>
      </c>
      <c r="I40" s="21">
        <v>24</v>
      </c>
      <c r="J40" s="21" t="s">
        <v>15</v>
      </c>
      <c r="K40" s="21" t="s">
        <v>15</v>
      </c>
      <c r="L40" s="21" t="s">
        <v>15</v>
      </c>
      <c r="M40" s="21" t="s">
        <v>15</v>
      </c>
      <c r="N40" s="21" t="s">
        <v>15</v>
      </c>
      <c r="O40" s="21" t="s">
        <v>17</v>
      </c>
      <c r="P40" s="21"/>
      <c r="Q40" s="21"/>
      <c r="R40" s="16" t="str">
        <f t="shared" si="2"/>
        <v>N</v>
      </c>
      <c r="S40" s="21" t="str">
        <f t="shared" si="9"/>
        <v>Y</v>
      </c>
      <c r="T40" s="21" t="str">
        <f t="shared" si="10"/>
        <v>Y</v>
      </c>
      <c r="U40" s="21" t="str">
        <f t="shared" si="4"/>
        <v>Y</v>
      </c>
      <c r="V40" s="16" t="str">
        <f t="shared" si="5"/>
        <v>N</v>
      </c>
      <c r="W40" s="21" t="str">
        <f t="shared" si="12"/>
        <v>N</v>
      </c>
      <c r="X40" s="21" t="str">
        <f t="shared" si="12"/>
        <v>N</v>
      </c>
      <c r="Y40" s="21" t="str">
        <f t="shared" si="6"/>
        <v>N</v>
      </c>
      <c r="Z40" s="16" t="str">
        <f t="shared" si="11"/>
        <v>N</v>
      </c>
      <c r="AA40" s="16" t="s">
        <v>15</v>
      </c>
      <c r="AB40" s="16" t="s">
        <v>15</v>
      </c>
      <c r="AC40" s="21" t="s">
        <v>16</v>
      </c>
    </row>
    <row r="41" spans="1:29" hidden="1">
      <c r="A41" s="23">
        <v>66</v>
      </c>
      <c r="B41" s="12">
        <v>0.47881944444444446</v>
      </c>
      <c r="C41" s="12">
        <v>0.47909722222222223</v>
      </c>
      <c r="D41" s="13">
        <v>2.7777777777776569E-4</v>
      </c>
      <c r="E41" s="14">
        <v>23.999999999998956</v>
      </c>
      <c r="F41" s="15">
        <v>1.0000000000000435</v>
      </c>
      <c r="G41" s="16" t="s">
        <v>69</v>
      </c>
      <c r="H41" s="16" t="s">
        <v>14</v>
      </c>
      <c r="I41" s="16">
        <v>24</v>
      </c>
      <c r="J41" s="16" t="s">
        <v>15</v>
      </c>
      <c r="K41" s="16" t="s">
        <v>15</v>
      </c>
      <c r="L41" s="16" t="s">
        <v>15</v>
      </c>
      <c r="M41" s="16" t="s">
        <v>15</v>
      </c>
      <c r="N41" s="16" t="s">
        <v>16</v>
      </c>
      <c r="O41" s="16" t="s">
        <v>17</v>
      </c>
      <c r="P41" s="16"/>
      <c r="Q41" s="16"/>
      <c r="R41" s="16" t="str">
        <f t="shared" si="2"/>
        <v>N</v>
      </c>
      <c r="S41" s="21" t="str">
        <f t="shared" si="9"/>
        <v>N</v>
      </c>
      <c r="T41" s="21" t="str">
        <f t="shared" si="10"/>
        <v>Y</v>
      </c>
      <c r="U41" s="21" t="str">
        <f t="shared" si="4"/>
        <v>Y</v>
      </c>
      <c r="V41" s="16" t="str">
        <f t="shared" si="5"/>
        <v>N</v>
      </c>
      <c r="W41" s="21" t="str">
        <f t="shared" si="12"/>
        <v>N</v>
      </c>
      <c r="X41" s="21" t="str">
        <f t="shared" si="12"/>
        <v>N</v>
      </c>
      <c r="Y41" s="21" t="str">
        <f t="shared" si="6"/>
        <v>N</v>
      </c>
      <c r="Z41" s="16" t="str">
        <f t="shared" si="11"/>
        <v>N</v>
      </c>
      <c r="AA41" s="16" t="s">
        <v>15</v>
      </c>
      <c r="AB41" s="16" t="s">
        <v>15</v>
      </c>
      <c r="AC41" s="21" t="s">
        <v>15</v>
      </c>
    </row>
    <row r="42" spans="1:29">
      <c r="A42" s="22">
        <v>67</v>
      </c>
      <c r="B42" s="17">
        <v>0.47885416666666664</v>
      </c>
      <c r="C42" s="17">
        <v>0.47916666666666669</v>
      </c>
      <c r="D42" s="18">
        <v>3.1250000000004885E-4</v>
      </c>
      <c r="E42" s="19">
        <v>27.000000000004221</v>
      </c>
      <c r="F42" s="20">
        <v>0.88888888888874995</v>
      </c>
      <c r="G42" s="21" t="s">
        <v>70</v>
      </c>
      <c r="H42" s="21" t="s">
        <v>14</v>
      </c>
      <c r="I42" s="21">
        <v>24</v>
      </c>
      <c r="J42" s="21" t="s">
        <v>16</v>
      </c>
      <c r="K42" s="21" t="s">
        <v>15</v>
      </c>
      <c r="L42" s="21" t="s">
        <v>15</v>
      </c>
      <c r="M42" s="21" t="s">
        <v>15</v>
      </c>
      <c r="N42" s="21" t="s">
        <v>15</v>
      </c>
      <c r="O42" s="21" t="s">
        <v>20</v>
      </c>
      <c r="P42" s="21"/>
      <c r="Q42" s="21"/>
      <c r="R42" s="16" t="str">
        <f t="shared" si="2"/>
        <v>N</v>
      </c>
      <c r="S42" s="21" t="str">
        <f t="shared" si="9"/>
        <v>N</v>
      </c>
      <c r="T42" s="21" t="str">
        <f t="shared" si="10"/>
        <v>N</v>
      </c>
      <c r="U42" s="21" t="str">
        <f t="shared" si="4"/>
        <v>N</v>
      </c>
      <c r="V42" s="16" t="str">
        <f t="shared" si="5"/>
        <v>N</v>
      </c>
      <c r="W42" s="21" t="str">
        <f t="shared" si="12"/>
        <v>N</v>
      </c>
      <c r="X42" s="21" t="str">
        <f t="shared" si="12"/>
        <v>N</v>
      </c>
      <c r="Y42" s="21" t="str">
        <f t="shared" si="6"/>
        <v>N</v>
      </c>
      <c r="Z42" s="16" t="str">
        <f t="shared" si="11"/>
        <v>N</v>
      </c>
      <c r="AA42" s="16" t="s">
        <v>15</v>
      </c>
      <c r="AB42" s="16" t="s">
        <v>15</v>
      </c>
      <c r="AC42" s="21" t="s">
        <v>16</v>
      </c>
    </row>
    <row r="43" spans="1:29">
      <c r="A43" s="23">
        <v>68</v>
      </c>
      <c r="B43" s="12">
        <v>0.47885416666666664</v>
      </c>
      <c r="C43" s="12">
        <v>0.47916666666666669</v>
      </c>
      <c r="D43" s="13">
        <v>3.1250000000004885E-4</v>
      </c>
      <c r="E43" s="14">
        <v>27.000000000004221</v>
      </c>
      <c r="F43" s="15">
        <v>0.88888888888874995</v>
      </c>
      <c r="G43" s="16" t="s">
        <v>71</v>
      </c>
      <c r="H43" s="16" t="s">
        <v>14</v>
      </c>
      <c r="I43" s="16">
        <v>24</v>
      </c>
      <c r="J43" s="16" t="s">
        <v>16</v>
      </c>
      <c r="K43" s="16" t="s">
        <v>15</v>
      </c>
      <c r="L43" s="16" t="s">
        <v>15</v>
      </c>
      <c r="M43" s="16" t="s">
        <v>15</v>
      </c>
      <c r="N43" s="16" t="s">
        <v>15</v>
      </c>
      <c r="O43" s="16" t="s">
        <v>20</v>
      </c>
      <c r="P43" s="16"/>
      <c r="Q43" s="16"/>
      <c r="R43" s="16" t="str">
        <f t="shared" si="2"/>
        <v>N</v>
      </c>
      <c r="S43" s="21" t="str">
        <f t="shared" si="9"/>
        <v>N</v>
      </c>
      <c r="T43" s="21" t="str">
        <f t="shared" si="10"/>
        <v>N</v>
      </c>
      <c r="U43" s="21" t="str">
        <f t="shared" si="4"/>
        <v>N</v>
      </c>
      <c r="V43" s="16" t="str">
        <f t="shared" si="5"/>
        <v>N</v>
      </c>
      <c r="W43" s="21" t="str">
        <f t="shared" si="12"/>
        <v>N</v>
      </c>
      <c r="X43" s="21" t="str">
        <f t="shared" si="12"/>
        <v>N</v>
      </c>
      <c r="Y43" s="21" t="str">
        <f t="shared" si="6"/>
        <v>N</v>
      </c>
      <c r="Z43" s="16" t="str">
        <f t="shared" si="11"/>
        <v>Y</v>
      </c>
      <c r="AA43" s="16" t="s">
        <v>15</v>
      </c>
      <c r="AB43" s="16" t="s">
        <v>15</v>
      </c>
      <c r="AC43" s="21" t="s">
        <v>16</v>
      </c>
    </row>
    <row r="44" spans="1:29">
      <c r="A44" s="22">
        <v>72</v>
      </c>
      <c r="B44" s="17">
        <v>0.47923611111111114</v>
      </c>
      <c r="C44" s="17">
        <v>0.4794444444444444</v>
      </c>
      <c r="D44" s="18">
        <v>2.0833333333325488E-4</v>
      </c>
      <c r="E44" s="19">
        <v>17.999999999993221</v>
      </c>
      <c r="F44" s="20">
        <v>1.3333333333338355</v>
      </c>
      <c r="G44" s="21" t="s">
        <v>75</v>
      </c>
      <c r="H44" s="21" t="s">
        <v>14</v>
      </c>
      <c r="I44" s="21">
        <v>24</v>
      </c>
      <c r="J44" s="21" t="s">
        <v>15</v>
      </c>
      <c r="K44" s="21" t="s">
        <v>15</v>
      </c>
      <c r="L44" s="21" t="s">
        <v>15</v>
      </c>
      <c r="M44" s="21" t="s">
        <v>15</v>
      </c>
      <c r="N44" s="21" t="s">
        <v>15</v>
      </c>
      <c r="O44" s="21" t="s">
        <v>17</v>
      </c>
      <c r="P44" s="21"/>
      <c r="Q44" s="21"/>
      <c r="R44" s="16" t="str">
        <f t="shared" si="2"/>
        <v>N</v>
      </c>
      <c r="S44" s="21" t="str">
        <f t="shared" si="9"/>
        <v>N</v>
      </c>
      <c r="T44" s="21" t="str">
        <f t="shared" si="10"/>
        <v>N</v>
      </c>
      <c r="U44" s="21" t="str">
        <f t="shared" si="4"/>
        <v>N</v>
      </c>
      <c r="V44" s="16" t="str">
        <f t="shared" si="5"/>
        <v>N</v>
      </c>
      <c r="W44" s="21" t="str">
        <f t="shared" si="12"/>
        <v>N</v>
      </c>
      <c r="X44" s="21" t="str">
        <f t="shared" si="12"/>
        <v>N</v>
      </c>
      <c r="Y44" s="21" t="str">
        <f t="shared" si="6"/>
        <v>N</v>
      </c>
      <c r="Z44" s="16" t="str">
        <f t="shared" si="11"/>
        <v>Y</v>
      </c>
      <c r="AA44" s="16" t="s">
        <v>15</v>
      </c>
      <c r="AB44" s="16" t="s">
        <v>15</v>
      </c>
      <c r="AC44" s="21" t="s">
        <v>16</v>
      </c>
    </row>
    <row r="45" spans="1:29" hidden="1">
      <c r="A45" s="23">
        <v>73</v>
      </c>
      <c r="B45" s="12">
        <v>0.47934027777777777</v>
      </c>
      <c r="C45" s="12">
        <v>0.47957175925925927</v>
      </c>
      <c r="D45" s="13">
        <v>2.3148148148149916E-4</v>
      </c>
      <c r="E45" s="14">
        <v>20.000000000001528</v>
      </c>
      <c r="F45" s="15">
        <v>1.1999999999999083</v>
      </c>
      <c r="G45" s="16" t="s">
        <v>77</v>
      </c>
      <c r="H45" s="16" t="s">
        <v>14</v>
      </c>
      <c r="I45" s="16">
        <v>24</v>
      </c>
      <c r="J45" s="16" t="s">
        <v>15</v>
      </c>
      <c r="K45" s="16" t="s">
        <v>15</v>
      </c>
      <c r="L45" s="16" t="s">
        <v>15</v>
      </c>
      <c r="M45" s="16" t="s">
        <v>15</v>
      </c>
      <c r="N45" s="16" t="s">
        <v>15</v>
      </c>
      <c r="O45" s="16" t="s">
        <v>20</v>
      </c>
      <c r="P45" s="16"/>
      <c r="Q45" s="16"/>
      <c r="R45" s="16" t="str">
        <f t="shared" si="2"/>
        <v>N</v>
      </c>
      <c r="S45" s="21" t="str">
        <f t="shared" si="9"/>
        <v>N</v>
      </c>
      <c r="T45" s="21" t="str">
        <f t="shared" si="10"/>
        <v>N</v>
      </c>
      <c r="U45" s="21" t="str">
        <f t="shared" si="4"/>
        <v>N</v>
      </c>
      <c r="V45" s="16" t="str">
        <f t="shared" si="5"/>
        <v>N</v>
      </c>
      <c r="W45" s="21" t="str">
        <f t="shared" si="12"/>
        <v>N</v>
      </c>
      <c r="X45" s="21" t="str">
        <f t="shared" si="12"/>
        <v>N</v>
      </c>
      <c r="Y45" s="21" t="str">
        <f t="shared" si="6"/>
        <v>N</v>
      </c>
      <c r="Z45" s="16" t="str">
        <f t="shared" si="11"/>
        <v>N</v>
      </c>
      <c r="AA45" s="16" t="s">
        <v>15</v>
      </c>
      <c r="AB45" s="16" t="s">
        <v>15</v>
      </c>
      <c r="AC45" s="21" t="s">
        <v>15</v>
      </c>
    </row>
    <row r="46" spans="1:29" hidden="1">
      <c r="A46" s="22">
        <v>74</v>
      </c>
      <c r="B46" s="17">
        <v>0.479525462962963</v>
      </c>
      <c r="C46" s="17">
        <v>0.47978009259259258</v>
      </c>
      <c r="D46" s="18">
        <v>2.5462962962957691E-4</v>
      </c>
      <c r="E46" s="19">
        <v>21.999999999995445</v>
      </c>
      <c r="F46" s="20">
        <v>1.0909090909093166</v>
      </c>
      <c r="G46" s="21" t="s">
        <v>78</v>
      </c>
      <c r="H46" s="21" t="s">
        <v>14</v>
      </c>
      <c r="I46" s="21">
        <v>24</v>
      </c>
      <c r="J46" s="21" t="s">
        <v>15</v>
      </c>
      <c r="K46" s="21" t="s">
        <v>15</v>
      </c>
      <c r="L46" s="21" t="s">
        <v>15</v>
      </c>
      <c r="M46" s="21" t="s">
        <v>15</v>
      </c>
      <c r="N46" s="21" t="s">
        <v>15</v>
      </c>
      <c r="O46" s="21" t="s">
        <v>20</v>
      </c>
      <c r="P46" s="21" t="s">
        <v>16</v>
      </c>
      <c r="Q46" s="21"/>
      <c r="R46" s="16" t="str">
        <f t="shared" si="2"/>
        <v>N</v>
      </c>
      <c r="S46" s="21" t="str">
        <f t="shared" si="9"/>
        <v>N</v>
      </c>
      <c r="T46" s="21" t="str">
        <f t="shared" si="10"/>
        <v>N</v>
      </c>
      <c r="U46" s="21" t="str">
        <f t="shared" si="4"/>
        <v>N</v>
      </c>
      <c r="V46" s="16" t="str">
        <f t="shared" si="5"/>
        <v>N</v>
      </c>
      <c r="W46" s="21" t="str">
        <f t="shared" si="12"/>
        <v>N</v>
      </c>
      <c r="X46" s="21" t="str">
        <f t="shared" si="12"/>
        <v>N</v>
      </c>
      <c r="Y46" s="21" t="str">
        <f t="shared" si="6"/>
        <v>N</v>
      </c>
      <c r="Z46" s="16" t="str">
        <f t="shared" si="11"/>
        <v>N</v>
      </c>
      <c r="AA46" s="16" t="s">
        <v>15</v>
      </c>
      <c r="AB46" s="16" t="s">
        <v>15</v>
      </c>
      <c r="AC46" s="21" t="s">
        <v>15</v>
      </c>
    </row>
    <row r="47" spans="1:29" hidden="1">
      <c r="A47" s="23">
        <v>75</v>
      </c>
      <c r="B47" s="12">
        <v>0.479525462962963</v>
      </c>
      <c r="C47" s="12">
        <v>0.47973379629629626</v>
      </c>
      <c r="D47" s="13">
        <v>2.0833333333325488E-4</v>
      </c>
      <c r="E47" s="14">
        <v>17.999999999993221</v>
      </c>
      <c r="F47" s="15">
        <v>1.3333333333338355</v>
      </c>
      <c r="G47" s="16" t="s">
        <v>79</v>
      </c>
      <c r="H47" s="16" t="s">
        <v>14</v>
      </c>
      <c r="I47" s="16">
        <v>24</v>
      </c>
      <c r="J47" s="16" t="s">
        <v>15</v>
      </c>
      <c r="K47" s="16" t="s">
        <v>15</v>
      </c>
      <c r="L47" s="16" t="s">
        <v>15</v>
      </c>
      <c r="M47" s="16" t="s">
        <v>15</v>
      </c>
      <c r="N47" s="16" t="s">
        <v>15</v>
      </c>
      <c r="O47" s="16" t="s">
        <v>20</v>
      </c>
      <c r="P47" s="16"/>
      <c r="Q47" s="16">
        <v>74</v>
      </c>
      <c r="R47" s="16" t="str">
        <f t="shared" si="2"/>
        <v>N</v>
      </c>
      <c r="S47" s="21" t="str">
        <f t="shared" si="9"/>
        <v>N</v>
      </c>
      <c r="T47" s="21" t="str">
        <f t="shared" si="10"/>
        <v>N</v>
      </c>
      <c r="U47" s="21" t="str">
        <f t="shared" si="4"/>
        <v>N</v>
      </c>
      <c r="V47" s="16" t="str">
        <f t="shared" si="5"/>
        <v>N</v>
      </c>
      <c r="W47" s="21" t="str">
        <f t="shared" si="12"/>
        <v>N</v>
      </c>
      <c r="X47" s="21" t="str">
        <f t="shared" si="12"/>
        <v>N</v>
      </c>
      <c r="Y47" s="21" t="str">
        <f t="shared" si="6"/>
        <v>N</v>
      </c>
      <c r="Z47" s="16" t="str">
        <f t="shared" si="11"/>
        <v>N</v>
      </c>
      <c r="AA47" s="16" t="s">
        <v>15</v>
      </c>
      <c r="AB47" s="16" t="s">
        <v>15</v>
      </c>
      <c r="AC47" s="21" t="s">
        <v>15</v>
      </c>
    </row>
    <row r="48" spans="1:29">
      <c r="A48" s="22">
        <v>76</v>
      </c>
      <c r="B48" s="17">
        <v>0.47961805555555559</v>
      </c>
      <c r="C48" s="17">
        <v>0.4798263888888889</v>
      </c>
      <c r="D48" s="18">
        <v>2.0833333333331039E-4</v>
      </c>
      <c r="E48" s="19">
        <v>17.999999999998018</v>
      </c>
      <c r="F48" s="20">
        <v>1.3333333333334803</v>
      </c>
      <c r="G48" s="21" t="s">
        <v>80</v>
      </c>
      <c r="H48" s="21" t="s">
        <v>14</v>
      </c>
      <c r="I48" s="21">
        <v>24</v>
      </c>
      <c r="J48" s="21" t="s">
        <v>15</v>
      </c>
      <c r="K48" s="21" t="s">
        <v>15</v>
      </c>
      <c r="L48" s="21" t="s">
        <v>15</v>
      </c>
      <c r="M48" s="21" t="s">
        <v>15</v>
      </c>
      <c r="N48" s="21" t="s">
        <v>15</v>
      </c>
      <c r="O48" s="21" t="s">
        <v>20</v>
      </c>
      <c r="P48" s="21" t="s">
        <v>16</v>
      </c>
      <c r="Q48" s="21"/>
      <c r="R48" s="16" t="str">
        <f t="shared" si="2"/>
        <v>N</v>
      </c>
      <c r="S48" s="21" t="str">
        <f t="shared" si="9"/>
        <v>N</v>
      </c>
      <c r="T48" s="21" t="str">
        <f t="shared" si="10"/>
        <v>N</v>
      </c>
      <c r="U48" s="21" t="str">
        <f t="shared" si="4"/>
        <v>N</v>
      </c>
      <c r="V48" s="16" t="str">
        <f t="shared" si="5"/>
        <v>N</v>
      </c>
      <c r="W48" s="21" t="str">
        <f t="shared" si="12"/>
        <v>N</v>
      </c>
      <c r="X48" s="21" t="str">
        <f t="shared" si="12"/>
        <v>N</v>
      </c>
      <c r="Y48" s="21" t="str">
        <f t="shared" si="6"/>
        <v>N</v>
      </c>
      <c r="Z48" s="16" t="str">
        <f t="shared" si="11"/>
        <v>N</v>
      </c>
      <c r="AA48" s="16" t="s">
        <v>15</v>
      </c>
      <c r="AB48" s="16" t="s">
        <v>15</v>
      </c>
      <c r="AC48" s="21" t="s">
        <v>16</v>
      </c>
    </row>
    <row r="49" spans="1:29">
      <c r="A49" s="23">
        <v>77</v>
      </c>
      <c r="B49" s="12">
        <v>0.47961805555555559</v>
      </c>
      <c r="C49" s="12">
        <v>0.47989583333333335</v>
      </c>
      <c r="D49" s="13">
        <v>2.7777777777776569E-4</v>
      </c>
      <c r="E49" s="14">
        <v>23.999999999998956</v>
      </c>
      <c r="F49" s="15">
        <v>1.0000000000000435</v>
      </c>
      <c r="G49" s="16" t="s">
        <v>83</v>
      </c>
      <c r="H49" s="16" t="s">
        <v>14</v>
      </c>
      <c r="I49" s="16">
        <v>24</v>
      </c>
      <c r="J49" s="16" t="s">
        <v>15</v>
      </c>
      <c r="K49" s="16" t="s">
        <v>16</v>
      </c>
      <c r="L49" s="16" t="s">
        <v>16</v>
      </c>
      <c r="M49" s="16" t="s">
        <v>15</v>
      </c>
      <c r="N49" s="16" t="s">
        <v>16</v>
      </c>
      <c r="O49" s="16" t="s">
        <v>17</v>
      </c>
      <c r="P49" s="16" t="s">
        <v>16</v>
      </c>
      <c r="Q49" s="16"/>
      <c r="R49" s="16" t="str">
        <f t="shared" si="2"/>
        <v>N</v>
      </c>
      <c r="S49" s="21" t="str">
        <f t="shared" si="9"/>
        <v>N</v>
      </c>
      <c r="T49" s="21" t="str">
        <f t="shared" si="10"/>
        <v>N</v>
      </c>
      <c r="U49" s="21" t="str">
        <f t="shared" si="4"/>
        <v>N</v>
      </c>
      <c r="V49" s="16" t="str">
        <f t="shared" si="5"/>
        <v>N</v>
      </c>
      <c r="W49" s="21" t="str">
        <f t="shared" si="12"/>
        <v>N</v>
      </c>
      <c r="X49" s="21" t="str">
        <f t="shared" si="12"/>
        <v>N</v>
      </c>
      <c r="Y49" s="21" t="str">
        <f t="shared" si="6"/>
        <v>N</v>
      </c>
      <c r="Z49" s="16" t="str">
        <f t="shared" si="11"/>
        <v>N</v>
      </c>
      <c r="AA49" s="16" t="s">
        <v>15</v>
      </c>
      <c r="AB49" s="16" t="s">
        <v>15</v>
      </c>
      <c r="AC49" s="21" t="s">
        <v>16</v>
      </c>
    </row>
    <row r="50" spans="1:29">
      <c r="A50" s="22">
        <v>78</v>
      </c>
      <c r="B50" s="17">
        <v>0.47961805555555559</v>
      </c>
      <c r="C50" s="17">
        <v>0.4798263888888889</v>
      </c>
      <c r="D50" s="18">
        <v>2.0833333333331039E-4</v>
      </c>
      <c r="E50" s="19">
        <v>17.999999999998018</v>
      </c>
      <c r="F50" s="20">
        <v>1.3333333333334803</v>
      </c>
      <c r="G50" s="21" t="s">
        <v>81</v>
      </c>
      <c r="H50" s="21" t="s">
        <v>14</v>
      </c>
      <c r="I50" s="21">
        <v>24</v>
      </c>
      <c r="J50" s="21" t="s">
        <v>15</v>
      </c>
      <c r="K50" s="21" t="s">
        <v>15</v>
      </c>
      <c r="L50" s="21" t="s">
        <v>15</v>
      </c>
      <c r="M50" s="21" t="s">
        <v>15</v>
      </c>
      <c r="N50" s="21" t="s">
        <v>15</v>
      </c>
      <c r="O50" s="21" t="s">
        <v>51</v>
      </c>
      <c r="P50" s="21" t="s">
        <v>16</v>
      </c>
      <c r="Q50" s="21"/>
      <c r="R50" s="16" t="str">
        <f t="shared" si="2"/>
        <v>Y</v>
      </c>
      <c r="S50" s="21" t="str">
        <f t="shared" si="9"/>
        <v>N</v>
      </c>
      <c r="T50" s="21" t="str">
        <f t="shared" si="10"/>
        <v>N</v>
      </c>
      <c r="U50" s="21" t="str">
        <f t="shared" si="4"/>
        <v>Y</v>
      </c>
      <c r="V50" s="16" t="str">
        <f t="shared" si="5"/>
        <v>N</v>
      </c>
      <c r="W50" s="21" t="str">
        <f t="shared" si="12"/>
        <v>N</v>
      </c>
      <c r="X50" s="21" t="str">
        <f t="shared" si="12"/>
        <v>N</v>
      </c>
      <c r="Y50" s="21" t="str">
        <f t="shared" si="6"/>
        <v>N</v>
      </c>
      <c r="Z50" s="16" t="str">
        <f t="shared" si="11"/>
        <v>N</v>
      </c>
      <c r="AA50" s="16" t="s">
        <v>15</v>
      </c>
      <c r="AB50" s="16" t="s">
        <v>15</v>
      </c>
      <c r="AC50" s="21" t="s">
        <v>16</v>
      </c>
    </row>
    <row r="51" spans="1:29">
      <c r="A51" s="23">
        <v>79</v>
      </c>
      <c r="B51" s="12">
        <v>0.47961805555555559</v>
      </c>
      <c r="C51" s="12">
        <v>0.47978009259259258</v>
      </c>
      <c r="D51" s="13">
        <v>1.6203703703698835E-4</v>
      </c>
      <c r="E51" s="14">
        <v>13.999999999995794</v>
      </c>
      <c r="F51" s="15">
        <v>1.7142857142862293</v>
      </c>
      <c r="G51" s="16" t="s">
        <v>82</v>
      </c>
      <c r="H51" s="16" t="s">
        <v>14</v>
      </c>
      <c r="I51" s="16">
        <v>24</v>
      </c>
      <c r="J51" s="16" t="s">
        <v>15</v>
      </c>
      <c r="K51" s="16" t="s">
        <v>15</v>
      </c>
      <c r="L51" s="16" t="s">
        <v>15</v>
      </c>
      <c r="M51" s="16" t="s">
        <v>15</v>
      </c>
      <c r="N51" s="16" t="s">
        <v>15</v>
      </c>
      <c r="O51" s="16" t="s">
        <v>17</v>
      </c>
      <c r="P51" s="16"/>
      <c r="Q51" s="16" t="s">
        <v>210</v>
      </c>
      <c r="R51" s="16" t="str">
        <f t="shared" si="2"/>
        <v>N</v>
      </c>
      <c r="S51" s="21" t="str">
        <f t="shared" si="9"/>
        <v>Y</v>
      </c>
      <c r="T51" s="21" t="str">
        <f t="shared" si="10"/>
        <v>N</v>
      </c>
      <c r="U51" s="21" t="str">
        <f t="shared" si="4"/>
        <v>Y</v>
      </c>
      <c r="V51" s="16" t="str">
        <f t="shared" si="5"/>
        <v>N</v>
      </c>
      <c r="W51" s="21" t="str">
        <f t="shared" si="12"/>
        <v>N</v>
      </c>
      <c r="X51" s="21" t="str">
        <f t="shared" si="12"/>
        <v>N</v>
      </c>
      <c r="Y51" s="21" t="str">
        <f t="shared" si="6"/>
        <v>N</v>
      </c>
      <c r="Z51" s="16" t="str">
        <f t="shared" si="11"/>
        <v>N</v>
      </c>
      <c r="AA51" s="16" t="s">
        <v>15</v>
      </c>
      <c r="AB51" s="16" t="s">
        <v>15</v>
      </c>
      <c r="AC51" s="21" t="s">
        <v>16</v>
      </c>
    </row>
    <row r="52" spans="1:29" hidden="1">
      <c r="A52" s="22">
        <v>80</v>
      </c>
      <c r="B52" s="17">
        <v>0.47962962962962963</v>
      </c>
      <c r="C52" s="17">
        <v>0.4798263888888889</v>
      </c>
      <c r="D52" s="18">
        <v>1.9675925925927151E-4</v>
      </c>
      <c r="E52" s="19">
        <v>17.000000000001059</v>
      </c>
      <c r="F52" s="20">
        <v>1.4117647058822651</v>
      </c>
      <c r="G52" s="21" t="s">
        <v>86</v>
      </c>
      <c r="H52" s="21" t="s">
        <v>14</v>
      </c>
      <c r="I52" s="21">
        <v>24</v>
      </c>
      <c r="J52" s="21" t="s">
        <v>15</v>
      </c>
      <c r="K52" s="21" t="s">
        <v>15</v>
      </c>
      <c r="L52" s="21" t="s">
        <v>15</v>
      </c>
      <c r="M52" s="21" t="s">
        <v>15</v>
      </c>
      <c r="N52" s="21" t="s">
        <v>15</v>
      </c>
      <c r="O52" s="21" t="s">
        <v>51</v>
      </c>
      <c r="P52" s="21" t="s">
        <v>16</v>
      </c>
      <c r="Q52" s="21" t="s">
        <v>211</v>
      </c>
      <c r="R52" s="16" t="str">
        <f t="shared" si="2"/>
        <v>N</v>
      </c>
      <c r="S52" s="21" t="str">
        <f t="shared" si="9"/>
        <v>N</v>
      </c>
      <c r="T52" s="21" t="str">
        <f t="shared" si="10"/>
        <v>Y</v>
      </c>
      <c r="U52" s="21" t="str">
        <f t="shared" si="4"/>
        <v>Y</v>
      </c>
      <c r="V52" s="16" t="str">
        <f t="shared" si="5"/>
        <v>N</v>
      </c>
      <c r="W52" s="21" t="str">
        <f t="shared" si="12"/>
        <v>N</v>
      </c>
      <c r="X52" s="21" t="str">
        <f t="shared" si="12"/>
        <v>N</v>
      </c>
      <c r="Y52" s="21" t="str">
        <f t="shared" si="6"/>
        <v>N</v>
      </c>
      <c r="Z52" s="16" t="str">
        <f t="shared" si="11"/>
        <v>N</v>
      </c>
      <c r="AA52" s="16" t="s">
        <v>15</v>
      </c>
      <c r="AB52" s="16" t="s">
        <v>15</v>
      </c>
      <c r="AC52" s="21" t="s">
        <v>15</v>
      </c>
    </row>
    <row r="53" spans="1:29">
      <c r="A53" s="23">
        <v>82</v>
      </c>
      <c r="B53" s="12">
        <v>0.47968749999999999</v>
      </c>
      <c r="C53" s="12">
        <v>0.47997685185185185</v>
      </c>
      <c r="D53" s="13">
        <v>2.8935185185186008E-4</v>
      </c>
      <c r="E53" s="14">
        <v>25.000000000000711</v>
      </c>
      <c r="F53" s="15">
        <v>0.95999999999997276</v>
      </c>
      <c r="G53" s="16" t="s">
        <v>84</v>
      </c>
      <c r="H53" s="16" t="s">
        <v>14</v>
      </c>
      <c r="I53" s="16">
        <v>24</v>
      </c>
      <c r="J53" s="16" t="s">
        <v>15</v>
      </c>
      <c r="K53" s="16" t="s">
        <v>16</v>
      </c>
      <c r="L53" s="16" t="s">
        <v>16</v>
      </c>
      <c r="M53" s="16" t="s">
        <v>15</v>
      </c>
      <c r="N53" s="16" t="s">
        <v>16</v>
      </c>
      <c r="O53" s="16" t="s">
        <v>51</v>
      </c>
      <c r="P53" s="16"/>
      <c r="Q53" s="16"/>
      <c r="R53" s="16" t="str">
        <f t="shared" si="2"/>
        <v>N</v>
      </c>
      <c r="S53" s="21" t="str">
        <f t="shared" si="9"/>
        <v>N</v>
      </c>
      <c r="T53" s="21" t="str">
        <f t="shared" si="10"/>
        <v>N</v>
      </c>
      <c r="U53" s="21" t="str">
        <f t="shared" si="4"/>
        <v>N</v>
      </c>
      <c r="V53" s="16" t="str">
        <f t="shared" si="5"/>
        <v>N</v>
      </c>
      <c r="W53" s="21" t="str">
        <f t="shared" si="12"/>
        <v>N</v>
      </c>
      <c r="X53" s="21" t="str">
        <f t="shared" si="12"/>
        <v>N</v>
      </c>
      <c r="Y53" s="21" t="str">
        <f t="shared" si="6"/>
        <v>N</v>
      </c>
      <c r="Z53" s="16" t="str">
        <f t="shared" si="11"/>
        <v>N</v>
      </c>
      <c r="AA53" s="16" t="s">
        <v>15</v>
      </c>
      <c r="AB53" s="16" t="s">
        <v>15</v>
      </c>
      <c r="AC53" s="21" t="s">
        <v>16</v>
      </c>
    </row>
    <row r="54" spans="1:29">
      <c r="A54" s="22">
        <v>83</v>
      </c>
      <c r="B54" s="17">
        <v>0.47972222222222222</v>
      </c>
      <c r="C54" s="17">
        <v>0.47998842592592594</v>
      </c>
      <c r="D54" s="18">
        <v>2.6620370370372681E-4</v>
      </c>
      <c r="E54" s="19">
        <v>23.000000000001997</v>
      </c>
      <c r="F54" s="20">
        <v>1.0434782608694746</v>
      </c>
      <c r="G54" s="21" t="s">
        <v>87</v>
      </c>
      <c r="H54" s="21" t="s">
        <v>14</v>
      </c>
      <c r="I54" s="21">
        <v>24</v>
      </c>
      <c r="J54" s="21" t="s">
        <v>15</v>
      </c>
      <c r="K54" s="21" t="s">
        <v>15</v>
      </c>
      <c r="L54" s="21" t="s">
        <v>15</v>
      </c>
      <c r="M54" s="21" t="s">
        <v>15</v>
      </c>
      <c r="N54" s="21" t="s">
        <v>15</v>
      </c>
      <c r="O54" s="21" t="s">
        <v>17</v>
      </c>
      <c r="P54" s="21"/>
      <c r="Q54" s="21"/>
      <c r="R54" s="16" t="str">
        <f t="shared" si="2"/>
        <v>Y</v>
      </c>
      <c r="S54" s="21" t="str">
        <f t="shared" si="9"/>
        <v>N</v>
      </c>
      <c r="T54" s="21" t="str">
        <f t="shared" si="10"/>
        <v>N</v>
      </c>
      <c r="U54" s="21" t="str">
        <f t="shared" si="4"/>
        <v>Y</v>
      </c>
      <c r="V54" s="16" t="str">
        <f t="shared" si="5"/>
        <v>N</v>
      </c>
      <c r="W54" s="21" t="str">
        <f t="shared" si="12"/>
        <v>N</v>
      </c>
      <c r="X54" s="21" t="str">
        <f t="shared" si="12"/>
        <v>N</v>
      </c>
      <c r="Y54" s="21" t="str">
        <f t="shared" si="6"/>
        <v>N</v>
      </c>
      <c r="Z54" s="16" t="str">
        <f t="shared" si="11"/>
        <v>N</v>
      </c>
      <c r="AA54" s="16" t="s">
        <v>15</v>
      </c>
      <c r="AB54" s="16" t="s">
        <v>15</v>
      </c>
      <c r="AC54" s="21" t="s">
        <v>16</v>
      </c>
    </row>
    <row r="55" spans="1:29" hidden="1">
      <c r="A55" s="23">
        <v>85</v>
      </c>
      <c r="B55" s="12">
        <v>0.47983796296296299</v>
      </c>
      <c r="C55" s="12">
        <v>0.4800578703703704</v>
      </c>
      <c r="D55" s="13">
        <v>2.1990740740740478E-4</v>
      </c>
      <c r="E55" s="14">
        <v>18.999999999999773</v>
      </c>
      <c r="F55" s="15">
        <v>1.2631578947368571</v>
      </c>
      <c r="G55" s="16" t="s">
        <v>89</v>
      </c>
      <c r="H55" s="16" t="s">
        <v>14</v>
      </c>
      <c r="I55" s="16">
        <v>24</v>
      </c>
      <c r="J55" s="16" t="s">
        <v>15</v>
      </c>
      <c r="K55" s="16" t="s">
        <v>16</v>
      </c>
      <c r="L55" s="16" t="s">
        <v>16</v>
      </c>
      <c r="M55" s="16" t="s">
        <v>15</v>
      </c>
      <c r="N55" s="16" t="s">
        <v>16</v>
      </c>
      <c r="O55" s="16" t="s">
        <v>51</v>
      </c>
      <c r="P55" s="16"/>
      <c r="Q55" s="16"/>
      <c r="R55" s="16" t="str">
        <f t="shared" si="2"/>
        <v>N</v>
      </c>
      <c r="S55" s="21" t="str">
        <f t="shared" si="9"/>
        <v>Y</v>
      </c>
      <c r="T55" s="21" t="str">
        <f t="shared" si="10"/>
        <v>N</v>
      </c>
      <c r="U55" s="21" t="str">
        <f t="shared" si="4"/>
        <v>Y</v>
      </c>
      <c r="V55" s="16" t="str">
        <f t="shared" si="5"/>
        <v>N</v>
      </c>
      <c r="W55" s="21" t="str">
        <f t="shared" si="12"/>
        <v>N</v>
      </c>
      <c r="X55" s="21" t="str">
        <f t="shared" si="12"/>
        <v>N</v>
      </c>
      <c r="Y55" s="21" t="str">
        <f t="shared" si="6"/>
        <v>N</v>
      </c>
      <c r="Z55" s="16" t="str">
        <f t="shared" si="11"/>
        <v>N</v>
      </c>
      <c r="AA55" s="16" t="s">
        <v>15</v>
      </c>
      <c r="AB55" s="16" t="s">
        <v>15</v>
      </c>
      <c r="AC55" s="21" t="s">
        <v>15</v>
      </c>
    </row>
    <row r="56" spans="1:29">
      <c r="A56" s="22">
        <v>86</v>
      </c>
      <c r="B56" s="17">
        <v>0.47990740740740739</v>
      </c>
      <c r="C56" s="17">
        <v>0.48010416666666672</v>
      </c>
      <c r="D56" s="18">
        <v>1.9675925925932702E-4</v>
      </c>
      <c r="E56" s="19">
        <v>17.000000000005855</v>
      </c>
      <c r="F56" s="20">
        <v>1.4117647058818668</v>
      </c>
      <c r="G56" s="21" t="s">
        <v>93</v>
      </c>
      <c r="H56" s="21" t="s">
        <v>14</v>
      </c>
      <c r="I56" s="21">
        <v>24</v>
      </c>
      <c r="J56" s="21" t="s">
        <v>15</v>
      </c>
      <c r="K56" s="21" t="s">
        <v>15</v>
      </c>
      <c r="L56" s="21" t="s">
        <v>15</v>
      </c>
      <c r="M56" s="21" t="s">
        <v>15</v>
      </c>
      <c r="N56" s="21" t="s">
        <v>16</v>
      </c>
      <c r="O56" s="21" t="s">
        <v>51</v>
      </c>
      <c r="P56" s="21" t="s">
        <v>16</v>
      </c>
      <c r="Q56" s="21"/>
      <c r="R56" s="16" t="str">
        <f t="shared" si="2"/>
        <v>Y</v>
      </c>
      <c r="S56" s="21" t="str">
        <f t="shared" si="9"/>
        <v>N</v>
      </c>
      <c r="T56" s="21" t="str">
        <f t="shared" si="10"/>
        <v>Y</v>
      </c>
      <c r="U56" s="21" t="str">
        <f t="shared" si="4"/>
        <v>Y</v>
      </c>
      <c r="V56" s="16" t="str">
        <f t="shared" si="5"/>
        <v>N</v>
      </c>
      <c r="W56" s="21" t="str">
        <f t="shared" si="12"/>
        <v>N</v>
      </c>
      <c r="X56" s="21" t="str">
        <f t="shared" si="12"/>
        <v>N</v>
      </c>
      <c r="Y56" s="21" t="str">
        <f t="shared" si="6"/>
        <v>N</v>
      </c>
      <c r="Z56" s="16" t="str">
        <f t="shared" si="11"/>
        <v>N</v>
      </c>
      <c r="AA56" s="16" t="s">
        <v>15</v>
      </c>
      <c r="AB56" s="16" t="s">
        <v>15</v>
      </c>
      <c r="AC56" s="21" t="s">
        <v>16</v>
      </c>
    </row>
    <row r="57" spans="1:29" hidden="1">
      <c r="A57" s="23">
        <v>87</v>
      </c>
      <c r="B57" s="12">
        <v>0.47993055555555553</v>
      </c>
      <c r="C57" s="12">
        <v>0.48006944444444444</v>
      </c>
      <c r="D57" s="13">
        <v>1.388888888889106E-4</v>
      </c>
      <c r="E57" s="14">
        <v>12.000000000001876</v>
      </c>
      <c r="F57" s="15">
        <v>1.9999999999996874</v>
      </c>
      <c r="G57" s="16" t="s">
        <v>94</v>
      </c>
      <c r="H57" s="16" t="s">
        <v>14</v>
      </c>
      <c r="I57" s="16">
        <v>24</v>
      </c>
      <c r="J57" s="16" t="s">
        <v>15</v>
      </c>
      <c r="K57" s="16" t="s">
        <v>15</v>
      </c>
      <c r="L57" s="16" t="s">
        <v>15</v>
      </c>
      <c r="M57" s="16" t="s">
        <v>15</v>
      </c>
      <c r="N57" s="16" t="s">
        <v>15</v>
      </c>
      <c r="O57" s="16" t="s">
        <v>17</v>
      </c>
      <c r="P57" s="16"/>
      <c r="Q57" s="16">
        <v>86</v>
      </c>
      <c r="R57" s="16" t="str">
        <f t="shared" si="2"/>
        <v>N</v>
      </c>
      <c r="S57" s="21" t="str">
        <f t="shared" si="9"/>
        <v>Y</v>
      </c>
      <c r="T57" s="21" t="str">
        <f t="shared" si="10"/>
        <v>N</v>
      </c>
      <c r="U57" s="21" t="str">
        <f t="shared" si="4"/>
        <v>Y</v>
      </c>
      <c r="V57" s="16" t="str">
        <f t="shared" si="5"/>
        <v>N</v>
      </c>
      <c r="W57" s="21" t="str">
        <f t="shared" si="12"/>
        <v>N</v>
      </c>
      <c r="X57" s="21" t="str">
        <f t="shared" si="12"/>
        <v>N</v>
      </c>
      <c r="Y57" s="21" t="str">
        <f t="shared" si="6"/>
        <v>N</v>
      </c>
      <c r="Z57" s="16" t="str">
        <f t="shared" si="11"/>
        <v>N</v>
      </c>
      <c r="AA57" s="16" t="s">
        <v>15</v>
      </c>
      <c r="AB57" s="16" t="s">
        <v>15</v>
      </c>
      <c r="AC57" s="21" t="s">
        <v>15</v>
      </c>
    </row>
    <row r="58" spans="1:29">
      <c r="A58" s="22">
        <v>88</v>
      </c>
      <c r="B58" s="17">
        <v>0.47994212962962962</v>
      </c>
      <c r="C58" s="17">
        <v>0.48010416666666672</v>
      </c>
      <c r="D58" s="18">
        <v>1.6203703703709937E-4</v>
      </c>
      <c r="E58" s="19">
        <v>14.000000000005386</v>
      </c>
      <c r="F58" s="20">
        <v>1.7142857142850547</v>
      </c>
      <c r="G58" s="21" t="s">
        <v>95</v>
      </c>
      <c r="H58" s="21" t="s">
        <v>14</v>
      </c>
      <c r="I58" s="21">
        <v>24</v>
      </c>
      <c r="J58" s="21" t="s">
        <v>15</v>
      </c>
      <c r="K58" s="21" t="s">
        <v>16</v>
      </c>
      <c r="L58" s="21" t="s">
        <v>15</v>
      </c>
      <c r="M58" s="21" t="s">
        <v>16</v>
      </c>
      <c r="N58" s="21" t="s">
        <v>16</v>
      </c>
      <c r="O58" s="21" t="s">
        <v>17</v>
      </c>
      <c r="P58" s="21"/>
      <c r="Q58" s="21"/>
      <c r="R58" s="16" t="str">
        <f t="shared" si="2"/>
        <v>N</v>
      </c>
      <c r="S58" s="21" t="str">
        <f t="shared" si="9"/>
        <v>N</v>
      </c>
      <c r="T58" s="21" t="str">
        <f t="shared" si="10"/>
        <v>Y</v>
      </c>
      <c r="U58" s="21" t="str">
        <f t="shared" si="4"/>
        <v>Y</v>
      </c>
      <c r="V58" s="16" t="str">
        <f t="shared" si="5"/>
        <v>N</v>
      </c>
      <c r="W58" s="21" t="str">
        <f t="shared" si="12"/>
        <v>N</v>
      </c>
      <c r="X58" s="21" t="str">
        <f t="shared" si="12"/>
        <v>N</v>
      </c>
      <c r="Y58" s="21" t="str">
        <f t="shared" si="6"/>
        <v>N</v>
      </c>
      <c r="Z58" s="16" t="str">
        <f t="shared" si="11"/>
        <v>N</v>
      </c>
      <c r="AA58" s="16" t="s">
        <v>15</v>
      </c>
      <c r="AB58" s="16" t="s">
        <v>15</v>
      </c>
      <c r="AC58" s="21" t="s">
        <v>16</v>
      </c>
    </row>
    <row r="59" spans="1:29" hidden="1">
      <c r="A59" s="23">
        <v>89</v>
      </c>
      <c r="B59" s="12">
        <v>0.47998842592592594</v>
      </c>
      <c r="C59" s="12">
        <v>0.48025462962962967</v>
      </c>
      <c r="D59" s="13">
        <v>2.6620370370372681E-4</v>
      </c>
      <c r="E59" s="14">
        <v>23.000000000001997</v>
      </c>
      <c r="F59" s="15">
        <v>1.0434782608694746</v>
      </c>
      <c r="G59" s="16" t="s">
        <v>96</v>
      </c>
      <c r="H59" s="16" t="s">
        <v>14</v>
      </c>
      <c r="I59" s="16">
        <v>24</v>
      </c>
      <c r="J59" s="16" t="s">
        <v>15</v>
      </c>
      <c r="K59" s="16" t="s">
        <v>15</v>
      </c>
      <c r="L59" s="16" t="s">
        <v>15</v>
      </c>
      <c r="M59" s="16" t="s">
        <v>15</v>
      </c>
      <c r="N59" s="16" t="s">
        <v>15</v>
      </c>
      <c r="O59" s="16" t="s">
        <v>51</v>
      </c>
      <c r="P59" s="16"/>
      <c r="Q59" s="16"/>
      <c r="R59" s="16" t="str">
        <f t="shared" si="2"/>
        <v>N</v>
      </c>
      <c r="S59" s="21" t="str">
        <f t="shared" si="9"/>
        <v>N</v>
      </c>
      <c r="T59" s="21" t="str">
        <f t="shared" si="10"/>
        <v>N</v>
      </c>
      <c r="U59" s="21" t="str">
        <f t="shared" si="4"/>
        <v>N</v>
      </c>
      <c r="V59" s="16" t="str">
        <f t="shared" si="5"/>
        <v>Y</v>
      </c>
      <c r="W59" s="21" t="str">
        <f t="shared" si="12"/>
        <v>N</v>
      </c>
      <c r="X59" s="21" t="str">
        <f t="shared" si="12"/>
        <v>N</v>
      </c>
      <c r="Y59" s="21" t="str">
        <f t="shared" si="6"/>
        <v>Y</v>
      </c>
      <c r="Z59" s="16" t="str">
        <f t="shared" si="11"/>
        <v>N</v>
      </c>
      <c r="AA59" s="16" t="s">
        <v>15</v>
      </c>
      <c r="AB59" s="16" t="s">
        <v>15</v>
      </c>
      <c r="AC59" s="21" t="s">
        <v>15</v>
      </c>
    </row>
    <row r="60" spans="1:29" hidden="1">
      <c r="A60" s="22">
        <v>91</v>
      </c>
      <c r="B60" s="17">
        <v>0.48002314814814812</v>
      </c>
      <c r="C60" s="17">
        <v>0.4802777777777778</v>
      </c>
      <c r="D60" s="18">
        <v>2.5462962962968794E-4</v>
      </c>
      <c r="E60" s="19">
        <v>22.000000000005038</v>
      </c>
      <c r="F60" s="20">
        <v>1.090909090908841</v>
      </c>
      <c r="G60" s="21" t="s">
        <v>98</v>
      </c>
      <c r="H60" s="21" t="s">
        <v>14</v>
      </c>
      <c r="I60" s="21">
        <v>24</v>
      </c>
      <c r="J60" s="21" t="s">
        <v>15</v>
      </c>
      <c r="K60" s="21" t="s">
        <v>15</v>
      </c>
      <c r="L60" s="21" t="s">
        <v>15</v>
      </c>
      <c r="M60" s="21" t="s">
        <v>15</v>
      </c>
      <c r="N60" s="21" t="s">
        <v>15</v>
      </c>
      <c r="O60" s="21" t="s">
        <v>51</v>
      </c>
      <c r="P60" s="21"/>
      <c r="Q60" s="21"/>
      <c r="R60" s="16" t="str">
        <f t="shared" si="2"/>
        <v>N</v>
      </c>
      <c r="S60" s="21" t="str">
        <f t="shared" si="9"/>
        <v>N</v>
      </c>
      <c r="T60" s="21" t="str">
        <f t="shared" si="10"/>
        <v>N</v>
      </c>
      <c r="U60" s="21" t="str">
        <f t="shared" si="4"/>
        <v>N</v>
      </c>
      <c r="V60" s="16" t="str">
        <f t="shared" si="5"/>
        <v>N</v>
      </c>
      <c r="W60" s="21" t="str">
        <f t="shared" si="12"/>
        <v>Y</v>
      </c>
      <c r="X60" s="21" t="str">
        <f t="shared" si="12"/>
        <v>N</v>
      </c>
      <c r="Y60" s="21" t="str">
        <f t="shared" si="6"/>
        <v>Y</v>
      </c>
      <c r="Z60" s="16" t="str">
        <f t="shared" si="11"/>
        <v>N</v>
      </c>
      <c r="AA60" s="16" t="s">
        <v>15</v>
      </c>
      <c r="AB60" s="16" t="s">
        <v>15</v>
      </c>
      <c r="AC60" s="21" t="s">
        <v>15</v>
      </c>
    </row>
    <row r="61" spans="1:29" hidden="1">
      <c r="A61" s="23">
        <v>93</v>
      </c>
      <c r="B61" s="12">
        <v>0.48006944444444444</v>
      </c>
      <c r="C61" s="12">
        <v>0.48031249999999998</v>
      </c>
      <c r="D61" s="13">
        <v>2.4305555555553804E-4</v>
      </c>
      <c r="E61" s="14">
        <v>20.999999999998487</v>
      </c>
      <c r="F61" s="15">
        <v>1.1428571428572252</v>
      </c>
      <c r="G61" s="16" t="s">
        <v>99</v>
      </c>
      <c r="H61" s="16" t="s">
        <v>14</v>
      </c>
      <c r="I61" s="16">
        <v>24</v>
      </c>
      <c r="J61" s="16" t="s">
        <v>15</v>
      </c>
      <c r="K61" s="16" t="s">
        <v>15</v>
      </c>
      <c r="L61" s="16" t="s">
        <v>15</v>
      </c>
      <c r="M61" s="16" t="s">
        <v>15</v>
      </c>
      <c r="N61" s="16" t="s">
        <v>15</v>
      </c>
      <c r="O61" s="16" t="s">
        <v>51</v>
      </c>
      <c r="P61" s="16"/>
      <c r="Q61" s="16"/>
      <c r="R61" s="16" t="str">
        <f t="shared" si="2"/>
        <v>N</v>
      </c>
      <c r="S61" s="21" t="str">
        <f t="shared" si="9"/>
        <v>N</v>
      </c>
      <c r="T61" s="21" t="str">
        <f t="shared" si="10"/>
        <v>N</v>
      </c>
      <c r="U61" s="21" t="str">
        <f t="shared" si="4"/>
        <v>N</v>
      </c>
      <c r="V61" s="16" t="str">
        <f t="shared" si="5"/>
        <v>N</v>
      </c>
      <c r="W61" s="21" t="str">
        <f t="shared" si="12"/>
        <v>N</v>
      </c>
      <c r="X61" s="21" t="str">
        <f t="shared" si="12"/>
        <v>Y</v>
      </c>
      <c r="Y61" s="21" t="str">
        <f t="shared" si="6"/>
        <v>Y</v>
      </c>
      <c r="Z61" s="16" t="str">
        <f t="shared" si="11"/>
        <v>N</v>
      </c>
      <c r="AA61" s="16" t="s">
        <v>15</v>
      </c>
      <c r="AB61" s="16" t="s">
        <v>15</v>
      </c>
      <c r="AC61" s="21" t="s">
        <v>15</v>
      </c>
    </row>
    <row r="62" spans="1:29">
      <c r="A62" s="22">
        <v>97</v>
      </c>
      <c r="B62" s="17">
        <v>0.48010416666666672</v>
      </c>
      <c r="C62" s="17">
        <v>0.4803587962962963</v>
      </c>
      <c r="D62" s="18">
        <v>2.5462962962957691E-4</v>
      </c>
      <c r="E62" s="19">
        <v>21.999999999995445</v>
      </c>
      <c r="F62" s="20">
        <v>1.0909090909093166</v>
      </c>
      <c r="G62" s="21" t="s">
        <v>100</v>
      </c>
      <c r="H62" s="21" t="s">
        <v>14</v>
      </c>
      <c r="I62" s="21">
        <v>24</v>
      </c>
      <c r="J62" s="21" t="s">
        <v>15</v>
      </c>
      <c r="K62" s="21" t="s">
        <v>15</v>
      </c>
      <c r="L62" s="21" t="s">
        <v>15</v>
      </c>
      <c r="M62" s="21" t="s">
        <v>15</v>
      </c>
      <c r="N62" s="21" t="s">
        <v>16</v>
      </c>
      <c r="O62" s="21" t="s">
        <v>51</v>
      </c>
      <c r="P62" s="21"/>
      <c r="Q62" s="21"/>
      <c r="R62" s="16" t="str">
        <f t="shared" si="2"/>
        <v>N</v>
      </c>
      <c r="S62" s="21" t="str">
        <f t="shared" si="9"/>
        <v>N</v>
      </c>
      <c r="T62" s="21" t="str">
        <f t="shared" si="10"/>
        <v>N</v>
      </c>
      <c r="U62" s="21" t="str">
        <f t="shared" si="4"/>
        <v>N</v>
      </c>
      <c r="V62" s="16" t="str">
        <f t="shared" si="5"/>
        <v>N</v>
      </c>
      <c r="W62" s="21" t="str">
        <f t="shared" si="12"/>
        <v>N</v>
      </c>
      <c r="X62" s="21" t="str">
        <f t="shared" si="12"/>
        <v>N</v>
      </c>
      <c r="Y62" s="21" t="str">
        <f t="shared" si="6"/>
        <v>N</v>
      </c>
      <c r="Z62" s="16" t="str">
        <f t="shared" si="11"/>
        <v>N</v>
      </c>
      <c r="AA62" s="16" t="s">
        <v>15</v>
      </c>
      <c r="AB62" s="16" t="s">
        <v>15</v>
      </c>
      <c r="AC62" s="21" t="s">
        <v>16</v>
      </c>
    </row>
    <row r="63" spans="1:29">
      <c r="A63" s="23">
        <v>98</v>
      </c>
      <c r="B63" s="12">
        <v>0.48018518518518521</v>
      </c>
      <c r="C63" s="12">
        <v>0.48053240740740738</v>
      </c>
      <c r="D63" s="13">
        <v>3.4722222222216548E-4</v>
      </c>
      <c r="E63" s="14">
        <v>29.999999999995097</v>
      </c>
      <c r="F63" s="15">
        <v>0.80000000000013072</v>
      </c>
      <c r="G63" s="16" t="s">
        <v>105</v>
      </c>
      <c r="H63" s="16" t="s">
        <v>14</v>
      </c>
      <c r="I63" s="16">
        <v>24</v>
      </c>
      <c r="J63" s="16" t="s">
        <v>15</v>
      </c>
      <c r="K63" s="16" t="s">
        <v>16</v>
      </c>
      <c r="L63" s="16" t="s">
        <v>16</v>
      </c>
      <c r="M63" s="16" t="s">
        <v>15</v>
      </c>
      <c r="N63" s="16" t="s">
        <v>16</v>
      </c>
      <c r="O63" s="16" t="s">
        <v>51</v>
      </c>
      <c r="P63" s="16"/>
      <c r="Q63" s="16"/>
      <c r="R63" s="16" t="str">
        <f t="shared" si="2"/>
        <v>N</v>
      </c>
      <c r="S63" s="21" t="str">
        <f t="shared" si="9"/>
        <v>N</v>
      </c>
      <c r="T63" s="21" t="str">
        <f t="shared" si="10"/>
        <v>N</v>
      </c>
      <c r="U63" s="21" t="str">
        <f t="shared" si="4"/>
        <v>N</v>
      </c>
      <c r="V63" s="16" t="str">
        <f t="shared" si="5"/>
        <v>N</v>
      </c>
      <c r="W63" s="21" t="str">
        <f t="shared" si="12"/>
        <v>N</v>
      </c>
      <c r="X63" s="21" t="str">
        <f t="shared" si="12"/>
        <v>N</v>
      </c>
      <c r="Y63" s="21" t="str">
        <f t="shared" si="6"/>
        <v>N</v>
      </c>
      <c r="Z63" s="16" t="str">
        <f t="shared" si="11"/>
        <v>N</v>
      </c>
      <c r="AA63" s="16" t="s">
        <v>15</v>
      </c>
      <c r="AB63" s="16" t="s">
        <v>15</v>
      </c>
      <c r="AC63" s="21" t="s">
        <v>16</v>
      </c>
    </row>
    <row r="64" spans="1:29" hidden="1">
      <c r="A64" s="22">
        <v>99</v>
      </c>
      <c r="B64" s="17">
        <v>0.48023148148148148</v>
      </c>
      <c r="C64" s="17">
        <v>0.48045138888888889</v>
      </c>
      <c r="D64" s="18">
        <v>2.1990740740740478E-4</v>
      </c>
      <c r="E64" s="19">
        <v>18.999999999999773</v>
      </c>
      <c r="F64" s="20">
        <v>1.2631578947368571</v>
      </c>
      <c r="G64" s="21" t="s">
        <v>106</v>
      </c>
      <c r="H64" s="21" t="s">
        <v>14</v>
      </c>
      <c r="I64" s="21">
        <v>24</v>
      </c>
      <c r="J64" s="21" t="s">
        <v>15</v>
      </c>
      <c r="K64" s="21" t="s">
        <v>15</v>
      </c>
      <c r="L64" s="21" t="s">
        <v>15</v>
      </c>
      <c r="M64" s="21" t="s">
        <v>15</v>
      </c>
      <c r="N64" s="21" t="s">
        <v>15</v>
      </c>
      <c r="O64" s="21" t="s">
        <v>51</v>
      </c>
      <c r="P64" s="21"/>
      <c r="Q64" s="21"/>
      <c r="R64" s="16" t="str">
        <f t="shared" si="2"/>
        <v>Y</v>
      </c>
      <c r="S64" s="21" t="str">
        <f t="shared" si="9"/>
        <v>N</v>
      </c>
      <c r="T64" s="21" t="str">
        <f t="shared" si="10"/>
        <v>N</v>
      </c>
      <c r="U64" s="21" t="str">
        <f t="shared" si="4"/>
        <v>Y</v>
      </c>
      <c r="V64" s="16" t="str">
        <f t="shared" si="5"/>
        <v>N</v>
      </c>
      <c r="W64" s="21" t="str">
        <f t="shared" si="12"/>
        <v>N</v>
      </c>
      <c r="X64" s="21" t="str">
        <f t="shared" si="12"/>
        <v>N</v>
      </c>
      <c r="Y64" s="21" t="str">
        <f t="shared" si="6"/>
        <v>N</v>
      </c>
      <c r="Z64" s="16" t="str">
        <f t="shared" si="11"/>
        <v>N</v>
      </c>
      <c r="AA64" s="16" t="s">
        <v>15</v>
      </c>
      <c r="AB64" s="16" t="s">
        <v>15</v>
      </c>
      <c r="AC64" s="21" t="s">
        <v>15</v>
      </c>
    </row>
    <row r="65" spans="1:29" hidden="1">
      <c r="A65" s="23">
        <v>103</v>
      </c>
      <c r="B65" s="12">
        <v>0.48046296296296293</v>
      </c>
      <c r="C65" s="12">
        <v>0.48078703703703707</v>
      </c>
      <c r="D65" s="13">
        <v>3.2407407407414324E-4</v>
      </c>
      <c r="E65" s="14">
        <v>28.000000000005976</v>
      </c>
      <c r="F65" s="15">
        <v>0.85714285714267424</v>
      </c>
      <c r="G65" s="16" t="s">
        <v>110</v>
      </c>
      <c r="H65" s="16" t="s">
        <v>14</v>
      </c>
      <c r="I65" s="16">
        <v>24</v>
      </c>
      <c r="J65" s="16" t="s">
        <v>15</v>
      </c>
      <c r="K65" s="16" t="s">
        <v>16</v>
      </c>
      <c r="L65" s="16" t="s">
        <v>15</v>
      </c>
      <c r="M65" s="16" t="s">
        <v>16</v>
      </c>
      <c r="N65" s="16" t="s">
        <v>16</v>
      </c>
      <c r="O65" s="16" t="s">
        <v>51</v>
      </c>
      <c r="P65" s="16"/>
      <c r="Q65" s="16"/>
      <c r="R65" s="16" t="str">
        <f t="shared" si="2"/>
        <v>N</v>
      </c>
      <c r="S65" s="21" t="str">
        <f t="shared" si="9"/>
        <v>Y</v>
      </c>
      <c r="T65" s="21" t="str">
        <f t="shared" si="10"/>
        <v>N</v>
      </c>
      <c r="U65" s="21" t="str">
        <f t="shared" si="4"/>
        <v>Y</v>
      </c>
      <c r="V65" s="16" t="str">
        <f t="shared" si="5"/>
        <v>N</v>
      </c>
      <c r="W65" s="21" t="str">
        <f t="shared" si="12"/>
        <v>N</v>
      </c>
      <c r="X65" s="21" t="str">
        <f t="shared" si="12"/>
        <v>N</v>
      </c>
      <c r="Y65" s="21" t="str">
        <f t="shared" si="6"/>
        <v>N</v>
      </c>
      <c r="Z65" s="16" t="str">
        <f t="shared" si="11"/>
        <v>N</v>
      </c>
      <c r="AA65" s="16" t="s">
        <v>15</v>
      </c>
      <c r="AB65" s="16" t="s">
        <v>15</v>
      </c>
      <c r="AC65" s="21" t="s">
        <v>15</v>
      </c>
    </row>
    <row r="66" spans="1:29">
      <c r="A66" s="22">
        <v>104</v>
      </c>
      <c r="B66" s="17">
        <v>0.48053240740740738</v>
      </c>
      <c r="C66" s="17">
        <v>0.48090277777777773</v>
      </c>
      <c r="D66" s="18">
        <v>3.7037037037035425E-4</v>
      </c>
      <c r="E66" s="19">
        <v>31.999999999998607</v>
      </c>
      <c r="F66" s="20">
        <v>0.75000000000003264</v>
      </c>
      <c r="G66" s="21" t="s">
        <v>111</v>
      </c>
      <c r="H66" s="21" t="s">
        <v>14</v>
      </c>
      <c r="I66" s="21">
        <v>24</v>
      </c>
      <c r="J66" s="21" t="s">
        <v>16</v>
      </c>
      <c r="K66" s="21" t="s">
        <v>15</v>
      </c>
      <c r="L66" s="21" t="s">
        <v>15</v>
      </c>
      <c r="M66" s="21" t="s">
        <v>15</v>
      </c>
      <c r="N66" s="21" t="s">
        <v>15</v>
      </c>
      <c r="O66" s="21" t="s">
        <v>51</v>
      </c>
      <c r="P66" s="21"/>
      <c r="Q66" s="21"/>
      <c r="R66" s="16" t="str">
        <f t="shared" si="2"/>
        <v>N</v>
      </c>
      <c r="S66" s="21" t="str">
        <f t="shared" si="9"/>
        <v>N</v>
      </c>
      <c r="T66" s="21" t="str">
        <f t="shared" si="10"/>
        <v>Y</v>
      </c>
      <c r="U66" s="21" t="str">
        <f t="shared" si="4"/>
        <v>Y</v>
      </c>
      <c r="V66" s="16" t="str">
        <f t="shared" si="5"/>
        <v>Y</v>
      </c>
      <c r="W66" s="21" t="str">
        <f t="shared" si="12"/>
        <v>N</v>
      </c>
      <c r="X66" s="21" t="str">
        <f t="shared" si="12"/>
        <v>N</v>
      </c>
      <c r="Y66" s="21" t="str">
        <f t="shared" si="6"/>
        <v>Y</v>
      </c>
      <c r="Z66" s="16" t="str">
        <f t="shared" si="11"/>
        <v>N</v>
      </c>
      <c r="AA66" s="16" t="s">
        <v>15</v>
      </c>
      <c r="AB66" s="16" t="s">
        <v>15</v>
      </c>
      <c r="AC66" s="21" t="s">
        <v>16</v>
      </c>
    </row>
    <row r="67" spans="1:29">
      <c r="A67" s="23">
        <v>105</v>
      </c>
      <c r="B67" s="12">
        <v>0.48054398148148153</v>
      </c>
      <c r="C67" s="12">
        <v>0.48091435185185188</v>
      </c>
      <c r="D67" s="13">
        <v>3.7037037037035425E-4</v>
      </c>
      <c r="E67" s="14">
        <v>31.999999999998607</v>
      </c>
      <c r="F67" s="15">
        <v>0.75000000000003264</v>
      </c>
      <c r="G67" s="16" t="s">
        <v>112</v>
      </c>
      <c r="H67" s="16" t="s">
        <v>14</v>
      </c>
      <c r="I67" s="16">
        <v>24</v>
      </c>
      <c r="J67" s="16" t="s">
        <v>16</v>
      </c>
      <c r="K67" s="16" t="s">
        <v>15</v>
      </c>
      <c r="L67" s="16" t="s">
        <v>15</v>
      </c>
      <c r="M67" s="16" t="s">
        <v>15</v>
      </c>
      <c r="N67" s="16" t="s">
        <v>15</v>
      </c>
      <c r="O67" s="16" t="s">
        <v>51</v>
      </c>
      <c r="P67" s="16"/>
      <c r="Q67" s="16"/>
      <c r="R67" s="16" t="str">
        <f t="shared" ref="R67:R115" si="13">IF(L66="Y","Y","N")</f>
        <v>N</v>
      </c>
      <c r="S67" s="21" t="str">
        <f t="shared" ref="S67:S115" si="14">IF(R66="Y","Y","N")</f>
        <v>N</v>
      </c>
      <c r="T67" s="21" t="str">
        <f t="shared" ref="T67:T115" si="15">IF(S66="Y","Y","N")</f>
        <v>N</v>
      </c>
      <c r="U67" s="21" t="str">
        <f t="shared" ref="U67:U115" si="16">IF(R67="N",IF(S67="N",IF(T67="N","N","Y"),"Y"),"Y")</f>
        <v>N</v>
      </c>
      <c r="V67" s="16" t="str">
        <f t="shared" ref="V67:V115" si="17">IF(M66="Y","Y","N")</f>
        <v>N</v>
      </c>
      <c r="W67" s="21" t="str">
        <f t="shared" si="12"/>
        <v>Y</v>
      </c>
      <c r="X67" s="21" t="str">
        <f t="shared" si="12"/>
        <v>N</v>
      </c>
      <c r="Y67" s="21" t="str">
        <f t="shared" ref="Y67:Y115" si="18">IF(V67="N",IF(W67="N",IF(X67="N","N","Y"),"Y"),"Y")</f>
        <v>Y</v>
      </c>
      <c r="Z67" s="16" t="str">
        <f t="shared" si="11"/>
        <v>Y</v>
      </c>
      <c r="AA67" s="16" t="s">
        <v>15</v>
      </c>
      <c r="AB67" s="16" t="s">
        <v>15</v>
      </c>
      <c r="AC67" s="21" t="s">
        <v>16</v>
      </c>
    </row>
    <row r="68" spans="1:29">
      <c r="A68" s="22">
        <v>106</v>
      </c>
      <c r="B68" s="17">
        <v>0.48055555555555557</v>
      </c>
      <c r="C68" s="17">
        <v>0.48083333333333328</v>
      </c>
      <c r="D68" s="18">
        <v>2.7777777777771018E-4</v>
      </c>
      <c r="E68" s="19">
        <v>23.999999999994159</v>
      </c>
      <c r="F68" s="20">
        <v>1.0000000000002434</v>
      </c>
      <c r="G68" s="21" t="s">
        <v>113</v>
      </c>
      <c r="H68" s="21" t="s">
        <v>14</v>
      </c>
      <c r="I68" s="21">
        <v>24</v>
      </c>
      <c r="J68" s="21" t="s">
        <v>16</v>
      </c>
      <c r="K68" s="21" t="s">
        <v>15</v>
      </c>
      <c r="L68" s="21" t="s">
        <v>15</v>
      </c>
      <c r="M68" s="21" t="s">
        <v>15</v>
      </c>
      <c r="N68" s="21" t="s">
        <v>15</v>
      </c>
      <c r="O68" s="21" t="s">
        <v>17</v>
      </c>
      <c r="P68" s="21"/>
      <c r="Q68" s="21"/>
      <c r="R68" s="16" t="str">
        <f t="shared" si="13"/>
        <v>N</v>
      </c>
      <c r="S68" s="21" t="str">
        <f t="shared" si="14"/>
        <v>N</v>
      </c>
      <c r="T68" s="21" t="str">
        <f t="shared" si="15"/>
        <v>N</v>
      </c>
      <c r="U68" s="21" t="str">
        <f t="shared" si="16"/>
        <v>N</v>
      </c>
      <c r="V68" s="16" t="str">
        <f t="shared" si="17"/>
        <v>N</v>
      </c>
      <c r="W68" s="21" t="str">
        <f t="shared" si="12"/>
        <v>N</v>
      </c>
      <c r="X68" s="21" t="str">
        <f t="shared" si="12"/>
        <v>Y</v>
      </c>
      <c r="Y68" s="21" t="str">
        <f t="shared" si="18"/>
        <v>Y</v>
      </c>
      <c r="Z68" s="16" t="str">
        <f t="shared" ref="Z68:Z115" si="19">IF(J67="Y","Y","N")</f>
        <v>Y</v>
      </c>
      <c r="AA68" s="16" t="s">
        <v>15</v>
      </c>
      <c r="AB68" s="16" t="s">
        <v>15</v>
      </c>
      <c r="AC68" s="21" t="s">
        <v>16</v>
      </c>
    </row>
    <row r="69" spans="1:29">
      <c r="A69" s="23">
        <v>107</v>
      </c>
      <c r="B69" s="12">
        <v>0.48075231481481479</v>
      </c>
      <c r="C69" s="12">
        <v>0.48094907407407406</v>
      </c>
      <c r="D69" s="13">
        <v>1.9675925925927151E-4</v>
      </c>
      <c r="E69" s="14">
        <v>17.000000000001059</v>
      </c>
      <c r="F69" s="15">
        <v>1.4117647058822651</v>
      </c>
      <c r="G69" s="16" t="s">
        <v>114</v>
      </c>
      <c r="H69" s="16" t="s">
        <v>14</v>
      </c>
      <c r="I69" s="16">
        <v>24</v>
      </c>
      <c r="J69" s="16" t="s">
        <v>15</v>
      </c>
      <c r="K69" s="16" t="s">
        <v>15</v>
      </c>
      <c r="L69" s="16" t="s">
        <v>15</v>
      </c>
      <c r="M69" s="16" t="s">
        <v>15</v>
      </c>
      <c r="N69" s="16" t="s">
        <v>15</v>
      </c>
      <c r="O69" s="16" t="s">
        <v>51</v>
      </c>
      <c r="P69" s="16"/>
      <c r="Q69" s="16"/>
      <c r="R69" s="16" t="str">
        <f t="shared" si="13"/>
        <v>N</v>
      </c>
      <c r="S69" s="21" t="str">
        <f t="shared" si="14"/>
        <v>N</v>
      </c>
      <c r="T69" s="21" t="str">
        <f t="shared" si="15"/>
        <v>N</v>
      </c>
      <c r="U69" s="21" t="str">
        <f t="shared" si="16"/>
        <v>N</v>
      </c>
      <c r="V69" s="16" t="str">
        <f t="shared" si="17"/>
        <v>N</v>
      </c>
      <c r="W69" s="21" t="str">
        <f t="shared" si="12"/>
        <v>N</v>
      </c>
      <c r="X69" s="21" t="str">
        <f t="shared" si="12"/>
        <v>N</v>
      </c>
      <c r="Y69" s="21" t="str">
        <f t="shared" si="18"/>
        <v>N</v>
      </c>
      <c r="Z69" s="16" t="str">
        <f t="shared" si="19"/>
        <v>Y</v>
      </c>
      <c r="AA69" s="16" t="s">
        <v>15</v>
      </c>
      <c r="AB69" s="16" t="s">
        <v>15</v>
      </c>
      <c r="AC69" s="21" t="s">
        <v>16</v>
      </c>
    </row>
    <row r="70" spans="1:29">
      <c r="A70" s="22">
        <v>108</v>
      </c>
      <c r="B70" s="17">
        <v>0.48077546296296297</v>
      </c>
      <c r="C70" s="17">
        <v>0.48101851851851851</v>
      </c>
      <c r="D70" s="18">
        <v>2.4305555555553804E-4</v>
      </c>
      <c r="E70" s="19">
        <v>20.999999999998487</v>
      </c>
      <c r="F70" s="20">
        <v>1.1428571428572252</v>
      </c>
      <c r="G70" s="21" t="s">
        <v>115</v>
      </c>
      <c r="H70" s="21" t="s">
        <v>14</v>
      </c>
      <c r="I70" s="21">
        <v>24</v>
      </c>
      <c r="J70" s="21" t="s">
        <v>15</v>
      </c>
      <c r="K70" s="21" t="s">
        <v>15</v>
      </c>
      <c r="L70" s="21" t="s">
        <v>15</v>
      </c>
      <c r="M70" s="21" t="s">
        <v>15</v>
      </c>
      <c r="N70" s="21" t="s">
        <v>15</v>
      </c>
      <c r="O70" s="21" t="s">
        <v>51</v>
      </c>
      <c r="P70" s="21"/>
      <c r="Q70" s="21"/>
      <c r="R70" s="16" t="str">
        <f t="shared" si="13"/>
        <v>N</v>
      </c>
      <c r="S70" s="21" t="str">
        <f t="shared" si="14"/>
        <v>N</v>
      </c>
      <c r="T70" s="21" t="str">
        <f t="shared" si="15"/>
        <v>N</v>
      </c>
      <c r="U70" s="21" t="str">
        <f t="shared" si="16"/>
        <v>N</v>
      </c>
      <c r="V70" s="16" t="str">
        <f t="shared" si="17"/>
        <v>N</v>
      </c>
      <c r="W70" s="21" t="str">
        <f t="shared" si="12"/>
        <v>N</v>
      </c>
      <c r="X70" s="21" t="str">
        <f t="shared" si="12"/>
        <v>N</v>
      </c>
      <c r="Y70" s="21" t="str">
        <f t="shared" si="18"/>
        <v>N</v>
      </c>
      <c r="Z70" s="16" t="str">
        <f t="shared" si="19"/>
        <v>N</v>
      </c>
      <c r="AA70" s="16" t="s">
        <v>15</v>
      </c>
      <c r="AB70" s="16" t="s">
        <v>15</v>
      </c>
      <c r="AC70" s="21" t="s">
        <v>16</v>
      </c>
    </row>
    <row r="71" spans="1:29">
      <c r="A71" s="23">
        <v>109</v>
      </c>
      <c r="B71" s="12">
        <v>0.48079861111111111</v>
      </c>
      <c r="C71" s="12">
        <v>0.48103009259259261</v>
      </c>
      <c r="D71" s="13">
        <v>2.3148148148149916E-4</v>
      </c>
      <c r="E71" s="14">
        <v>20.000000000001528</v>
      </c>
      <c r="F71" s="15">
        <v>1.1999999999999083</v>
      </c>
      <c r="G71" s="16" t="s">
        <v>116</v>
      </c>
      <c r="H71" s="16" t="s">
        <v>14</v>
      </c>
      <c r="I71" s="16">
        <v>24</v>
      </c>
      <c r="J71" s="16" t="s">
        <v>16</v>
      </c>
      <c r="K71" s="16" t="s">
        <v>15</v>
      </c>
      <c r="L71" s="16" t="s">
        <v>15</v>
      </c>
      <c r="M71" s="16" t="s">
        <v>15</v>
      </c>
      <c r="N71" s="16" t="s">
        <v>16</v>
      </c>
      <c r="O71" s="16" t="s">
        <v>17</v>
      </c>
      <c r="P71" s="16" t="s">
        <v>16</v>
      </c>
      <c r="Q71" s="16"/>
      <c r="R71" s="16" t="str">
        <f t="shared" si="13"/>
        <v>N</v>
      </c>
      <c r="S71" s="21" t="str">
        <f t="shared" si="14"/>
        <v>N</v>
      </c>
      <c r="T71" s="21" t="str">
        <f t="shared" si="15"/>
        <v>N</v>
      </c>
      <c r="U71" s="21" t="str">
        <f t="shared" si="16"/>
        <v>N</v>
      </c>
      <c r="V71" s="16" t="str">
        <f t="shared" si="17"/>
        <v>N</v>
      </c>
      <c r="W71" s="21" t="str">
        <f t="shared" si="12"/>
        <v>N</v>
      </c>
      <c r="X71" s="21" t="str">
        <f t="shared" si="12"/>
        <v>N</v>
      </c>
      <c r="Y71" s="21" t="str">
        <f t="shared" si="18"/>
        <v>N</v>
      </c>
      <c r="Z71" s="16" t="str">
        <f t="shared" si="19"/>
        <v>N</v>
      </c>
      <c r="AA71" s="16" t="s">
        <v>15</v>
      </c>
      <c r="AB71" s="16" t="s">
        <v>15</v>
      </c>
      <c r="AC71" s="21" t="s">
        <v>16</v>
      </c>
    </row>
    <row r="72" spans="1:29">
      <c r="A72" s="22">
        <v>110</v>
      </c>
      <c r="B72" s="17">
        <v>0.48079861111111111</v>
      </c>
      <c r="C72" s="17">
        <v>0.48106481481481483</v>
      </c>
      <c r="D72" s="18">
        <v>2.6620370370372681E-4</v>
      </c>
      <c r="E72" s="19">
        <v>23.000000000001997</v>
      </c>
      <c r="F72" s="20">
        <v>1.0434782608694746</v>
      </c>
      <c r="G72" s="21" t="s">
        <v>118</v>
      </c>
      <c r="H72" s="21" t="s">
        <v>14</v>
      </c>
      <c r="I72" s="21">
        <v>24</v>
      </c>
      <c r="J72" s="21" t="s">
        <v>16</v>
      </c>
      <c r="K72" s="21" t="s">
        <v>15</v>
      </c>
      <c r="L72" s="21" t="s">
        <v>15</v>
      </c>
      <c r="M72" s="21" t="s">
        <v>15</v>
      </c>
      <c r="N72" s="21" t="s">
        <v>15</v>
      </c>
      <c r="O72" s="21" t="s">
        <v>17</v>
      </c>
      <c r="P72" s="21" t="s">
        <v>16</v>
      </c>
      <c r="Q72" s="21"/>
      <c r="R72" s="16" t="str">
        <f t="shared" si="13"/>
        <v>N</v>
      </c>
      <c r="S72" s="21" t="str">
        <f t="shared" si="14"/>
        <v>N</v>
      </c>
      <c r="T72" s="21" t="str">
        <f t="shared" si="15"/>
        <v>N</v>
      </c>
      <c r="U72" s="21" t="str">
        <f t="shared" si="16"/>
        <v>N</v>
      </c>
      <c r="V72" s="16" t="str">
        <f t="shared" si="17"/>
        <v>N</v>
      </c>
      <c r="W72" s="21" t="str">
        <f t="shared" si="12"/>
        <v>N</v>
      </c>
      <c r="X72" s="21" t="str">
        <f t="shared" si="12"/>
        <v>N</v>
      </c>
      <c r="Y72" s="21" t="str">
        <f t="shared" si="18"/>
        <v>N</v>
      </c>
      <c r="Z72" s="16" t="str">
        <f t="shared" si="19"/>
        <v>Y</v>
      </c>
      <c r="AA72" s="16" t="s">
        <v>15</v>
      </c>
      <c r="AB72" s="16" t="s">
        <v>15</v>
      </c>
      <c r="AC72" s="21" t="s">
        <v>16</v>
      </c>
    </row>
    <row r="73" spans="1:29">
      <c r="A73" s="23">
        <v>111</v>
      </c>
      <c r="B73" s="12">
        <v>0.48082175925925924</v>
      </c>
      <c r="C73" s="12">
        <v>0.48106481481481483</v>
      </c>
      <c r="D73" s="13">
        <v>2.4305555555559355E-4</v>
      </c>
      <c r="E73" s="14">
        <v>21.000000000003283</v>
      </c>
      <c r="F73" s="15">
        <v>1.1428571428569643</v>
      </c>
      <c r="G73" s="16" t="s">
        <v>117</v>
      </c>
      <c r="H73" s="16" t="s">
        <v>14</v>
      </c>
      <c r="I73" s="16">
        <v>24</v>
      </c>
      <c r="J73" s="16" t="s">
        <v>15</v>
      </c>
      <c r="K73" s="16" t="s">
        <v>15</v>
      </c>
      <c r="L73" s="16" t="s">
        <v>15</v>
      </c>
      <c r="M73" s="16" t="s">
        <v>15</v>
      </c>
      <c r="N73" s="16" t="s">
        <v>15</v>
      </c>
      <c r="O73" s="16" t="s">
        <v>17</v>
      </c>
      <c r="P73" s="16"/>
      <c r="Q73" s="16" t="s">
        <v>205</v>
      </c>
      <c r="R73" s="16" t="str">
        <f t="shared" si="13"/>
        <v>N</v>
      </c>
      <c r="S73" s="21" t="str">
        <f t="shared" si="14"/>
        <v>N</v>
      </c>
      <c r="T73" s="21" t="str">
        <f t="shared" si="15"/>
        <v>N</v>
      </c>
      <c r="U73" s="21" t="str">
        <f t="shared" si="16"/>
        <v>N</v>
      </c>
      <c r="V73" s="16" t="str">
        <f t="shared" si="17"/>
        <v>N</v>
      </c>
      <c r="W73" s="21" t="str">
        <f t="shared" si="12"/>
        <v>N</v>
      </c>
      <c r="X73" s="21" t="str">
        <f t="shared" si="12"/>
        <v>N</v>
      </c>
      <c r="Y73" s="21" t="str">
        <f t="shared" si="18"/>
        <v>N</v>
      </c>
      <c r="Z73" s="16" t="str">
        <f t="shared" si="19"/>
        <v>Y</v>
      </c>
      <c r="AA73" s="16" t="s">
        <v>15</v>
      </c>
      <c r="AB73" s="16" t="s">
        <v>15</v>
      </c>
      <c r="AC73" s="21" t="s">
        <v>16</v>
      </c>
    </row>
    <row r="74" spans="1:29">
      <c r="A74" s="22">
        <v>112</v>
      </c>
      <c r="B74" s="17">
        <v>0.48084490740740743</v>
      </c>
      <c r="C74" s="17">
        <v>0.48107638888888887</v>
      </c>
      <c r="D74" s="18">
        <v>2.3148148148144365E-4</v>
      </c>
      <c r="E74" s="19">
        <v>19.999999999996732</v>
      </c>
      <c r="F74" s="20">
        <v>1.200000000000196</v>
      </c>
      <c r="G74" s="21" t="s">
        <v>119</v>
      </c>
      <c r="H74" s="21" t="s">
        <v>14</v>
      </c>
      <c r="I74" s="21">
        <v>24</v>
      </c>
      <c r="J74" s="21" t="s">
        <v>16</v>
      </c>
      <c r="K74" s="21" t="s">
        <v>15</v>
      </c>
      <c r="L74" s="21" t="s">
        <v>15</v>
      </c>
      <c r="M74" s="21" t="s">
        <v>15</v>
      </c>
      <c r="N74" s="21" t="s">
        <v>15</v>
      </c>
      <c r="O74" s="21" t="s">
        <v>17</v>
      </c>
      <c r="P74" s="21"/>
      <c r="Q74" s="21"/>
      <c r="R74" s="16" t="str">
        <f t="shared" si="13"/>
        <v>N</v>
      </c>
      <c r="S74" s="21" t="str">
        <f t="shared" si="14"/>
        <v>N</v>
      </c>
      <c r="T74" s="21" t="str">
        <f t="shared" si="15"/>
        <v>N</v>
      </c>
      <c r="U74" s="21" t="str">
        <f t="shared" si="16"/>
        <v>N</v>
      </c>
      <c r="V74" s="16" t="str">
        <f t="shared" si="17"/>
        <v>N</v>
      </c>
      <c r="W74" s="21" t="str">
        <f t="shared" si="12"/>
        <v>N</v>
      </c>
      <c r="X74" s="21" t="str">
        <f t="shared" si="12"/>
        <v>N</v>
      </c>
      <c r="Y74" s="21" t="str">
        <f t="shared" si="18"/>
        <v>N</v>
      </c>
      <c r="Z74" s="16" t="str">
        <f t="shared" si="19"/>
        <v>N</v>
      </c>
      <c r="AA74" s="16" t="s">
        <v>15</v>
      </c>
      <c r="AB74" s="16" t="s">
        <v>15</v>
      </c>
      <c r="AC74" s="21" t="s">
        <v>16</v>
      </c>
    </row>
    <row r="75" spans="1:29">
      <c r="A75" s="23">
        <v>113</v>
      </c>
      <c r="B75" s="12">
        <v>0.48084490740740743</v>
      </c>
      <c r="C75" s="12">
        <v>0.48108796296296297</v>
      </c>
      <c r="D75" s="13">
        <v>2.4305555555553804E-4</v>
      </c>
      <c r="E75" s="14">
        <v>20.999999999998487</v>
      </c>
      <c r="F75" s="15">
        <v>1.1428571428572252</v>
      </c>
      <c r="G75" s="16" t="s">
        <v>120</v>
      </c>
      <c r="H75" s="16" t="s">
        <v>14</v>
      </c>
      <c r="I75" s="16">
        <v>24</v>
      </c>
      <c r="J75" s="16" t="s">
        <v>16</v>
      </c>
      <c r="K75" s="16" t="s">
        <v>15</v>
      </c>
      <c r="L75" s="16" t="s">
        <v>15</v>
      </c>
      <c r="M75" s="16" t="s">
        <v>15</v>
      </c>
      <c r="N75" s="16" t="s">
        <v>15</v>
      </c>
      <c r="O75" s="16" t="s">
        <v>17</v>
      </c>
      <c r="P75" s="16"/>
      <c r="Q75" s="16"/>
      <c r="R75" s="16" t="str">
        <f t="shared" si="13"/>
        <v>N</v>
      </c>
      <c r="S75" s="21" t="str">
        <f t="shared" si="14"/>
        <v>N</v>
      </c>
      <c r="T75" s="21" t="str">
        <f t="shared" si="15"/>
        <v>N</v>
      </c>
      <c r="U75" s="21" t="str">
        <f t="shared" si="16"/>
        <v>N</v>
      </c>
      <c r="V75" s="16" t="str">
        <f t="shared" si="17"/>
        <v>N</v>
      </c>
      <c r="W75" s="21" t="str">
        <f t="shared" si="12"/>
        <v>N</v>
      </c>
      <c r="X75" s="21" t="str">
        <f t="shared" si="12"/>
        <v>N</v>
      </c>
      <c r="Y75" s="21" t="str">
        <f t="shared" si="18"/>
        <v>N</v>
      </c>
      <c r="Z75" s="16" t="str">
        <f t="shared" si="19"/>
        <v>Y</v>
      </c>
      <c r="AA75" s="16" t="s">
        <v>15</v>
      </c>
      <c r="AB75" s="16" t="s">
        <v>15</v>
      </c>
      <c r="AC75" s="21" t="s">
        <v>16</v>
      </c>
    </row>
    <row r="76" spans="1:29">
      <c r="A76" s="22">
        <v>117</v>
      </c>
      <c r="B76" s="17">
        <v>0.48101851851851851</v>
      </c>
      <c r="C76" s="17">
        <v>0.48143518518518519</v>
      </c>
      <c r="D76" s="18">
        <v>4.1666666666667629E-4</v>
      </c>
      <c r="E76" s="19">
        <v>36.000000000000831</v>
      </c>
      <c r="F76" s="20">
        <v>0.66666666666665131</v>
      </c>
      <c r="G76" s="21" t="s">
        <v>122</v>
      </c>
      <c r="H76" s="21" t="s">
        <v>14</v>
      </c>
      <c r="I76" s="21">
        <v>24</v>
      </c>
      <c r="J76" s="21" t="s">
        <v>16</v>
      </c>
      <c r="K76" s="21" t="s">
        <v>15</v>
      </c>
      <c r="L76" s="21" t="s">
        <v>15</v>
      </c>
      <c r="M76" s="21" t="s">
        <v>15</v>
      </c>
      <c r="N76" s="21" t="s">
        <v>15</v>
      </c>
      <c r="O76" s="21" t="s">
        <v>17</v>
      </c>
      <c r="P76" s="21" t="s">
        <v>16</v>
      </c>
      <c r="Q76" s="21"/>
      <c r="R76" s="16" t="str">
        <f t="shared" si="13"/>
        <v>N</v>
      </c>
      <c r="S76" s="21" t="str">
        <f t="shared" si="14"/>
        <v>N</v>
      </c>
      <c r="T76" s="21" t="str">
        <f t="shared" si="15"/>
        <v>N</v>
      </c>
      <c r="U76" s="21" t="str">
        <f t="shared" si="16"/>
        <v>N</v>
      </c>
      <c r="V76" s="16" t="str">
        <f t="shared" si="17"/>
        <v>N</v>
      </c>
      <c r="W76" s="21" t="str">
        <f t="shared" si="12"/>
        <v>N</v>
      </c>
      <c r="X76" s="21" t="str">
        <f t="shared" si="12"/>
        <v>N</v>
      </c>
      <c r="Y76" s="21" t="str">
        <f t="shared" si="18"/>
        <v>N</v>
      </c>
      <c r="Z76" s="16" t="str">
        <f t="shared" si="19"/>
        <v>Y</v>
      </c>
      <c r="AA76" s="16" t="s">
        <v>15</v>
      </c>
      <c r="AB76" s="16" t="s">
        <v>15</v>
      </c>
      <c r="AC76" s="21" t="s">
        <v>16</v>
      </c>
    </row>
    <row r="77" spans="1:29">
      <c r="A77" s="23">
        <v>118</v>
      </c>
      <c r="B77" s="12">
        <v>0.48101851851851851</v>
      </c>
      <c r="C77" s="12">
        <v>0.48143518518518519</v>
      </c>
      <c r="D77" s="13">
        <v>4.1666666666667629E-4</v>
      </c>
      <c r="E77" s="14">
        <v>36.000000000000831</v>
      </c>
      <c r="F77" s="15">
        <v>0.66666666666665131</v>
      </c>
      <c r="G77" s="16" t="s">
        <v>123</v>
      </c>
      <c r="H77" s="16" t="s">
        <v>14</v>
      </c>
      <c r="I77" s="16">
        <v>24</v>
      </c>
      <c r="J77" s="16" t="s">
        <v>16</v>
      </c>
      <c r="K77" s="16" t="s">
        <v>15</v>
      </c>
      <c r="L77" s="16" t="s">
        <v>15</v>
      </c>
      <c r="M77" s="16" t="s">
        <v>15</v>
      </c>
      <c r="N77" s="16" t="s">
        <v>15</v>
      </c>
      <c r="O77" s="16" t="s">
        <v>17</v>
      </c>
      <c r="P77" s="16" t="s">
        <v>16</v>
      </c>
      <c r="Q77" s="16"/>
      <c r="R77" s="16" t="str">
        <f t="shared" si="13"/>
        <v>N</v>
      </c>
      <c r="S77" s="21" t="str">
        <f t="shared" si="14"/>
        <v>N</v>
      </c>
      <c r="T77" s="21" t="str">
        <f t="shared" si="15"/>
        <v>N</v>
      </c>
      <c r="U77" s="21" t="str">
        <f t="shared" si="16"/>
        <v>N</v>
      </c>
      <c r="V77" s="16" t="str">
        <f t="shared" si="17"/>
        <v>N</v>
      </c>
      <c r="W77" s="21" t="str">
        <f t="shared" si="12"/>
        <v>N</v>
      </c>
      <c r="X77" s="21" t="str">
        <f t="shared" si="12"/>
        <v>N</v>
      </c>
      <c r="Y77" s="21" t="str">
        <f t="shared" si="18"/>
        <v>N</v>
      </c>
      <c r="Z77" s="16" t="str">
        <f t="shared" si="19"/>
        <v>Y</v>
      </c>
      <c r="AA77" s="16" t="s">
        <v>15</v>
      </c>
      <c r="AB77" s="16" t="s">
        <v>15</v>
      </c>
      <c r="AC77" s="21" t="s">
        <v>16</v>
      </c>
    </row>
    <row r="78" spans="1:29">
      <c r="A78" s="22">
        <v>119</v>
      </c>
      <c r="B78" s="17">
        <v>0.48101851851851851</v>
      </c>
      <c r="C78" s="17">
        <v>0.48143518518518519</v>
      </c>
      <c r="D78" s="18">
        <v>4.1666666666667629E-4</v>
      </c>
      <c r="E78" s="19">
        <v>36.000000000000831</v>
      </c>
      <c r="F78" s="20">
        <v>0.66666666666665131</v>
      </c>
      <c r="G78" s="21" t="s">
        <v>40</v>
      </c>
      <c r="H78" s="21" t="s">
        <v>14</v>
      </c>
      <c r="I78" s="21">
        <v>24</v>
      </c>
      <c r="J78" s="21" t="s">
        <v>16</v>
      </c>
      <c r="K78" s="21" t="s">
        <v>15</v>
      </c>
      <c r="L78" s="21" t="s">
        <v>15</v>
      </c>
      <c r="M78" s="21" t="s">
        <v>15</v>
      </c>
      <c r="N78" s="21" t="s">
        <v>15</v>
      </c>
      <c r="O78" s="21" t="s">
        <v>17</v>
      </c>
      <c r="P78" s="21" t="s">
        <v>16</v>
      </c>
      <c r="Q78" s="21"/>
      <c r="R78" s="16" t="str">
        <f t="shared" si="13"/>
        <v>N</v>
      </c>
      <c r="S78" s="21" t="str">
        <f t="shared" si="14"/>
        <v>N</v>
      </c>
      <c r="T78" s="21" t="str">
        <f t="shared" si="15"/>
        <v>N</v>
      </c>
      <c r="U78" s="21" t="str">
        <f t="shared" si="16"/>
        <v>N</v>
      </c>
      <c r="V78" s="16" t="str">
        <f t="shared" si="17"/>
        <v>N</v>
      </c>
      <c r="W78" s="21" t="str">
        <f t="shared" si="12"/>
        <v>N</v>
      </c>
      <c r="X78" s="21" t="str">
        <f t="shared" si="12"/>
        <v>N</v>
      </c>
      <c r="Y78" s="21" t="str">
        <f t="shared" si="18"/>
        <v>N</v>
      </c>
      <c r="Z78" s="16" t="str">
        <f t="shared" si="19"/>
        <v>Y</v>
      </c>
      <c r="AA78" s="16" t="s">
        <v>15</v>
      </c>
      <c r="AB78" s="16" t="s">
        <v>15</v>
      </c>
      <c r="AC78" s="21" t="s">
        <v>16</v>
      </c>
    </row>
    <row r="79" spans="1:29">
      <c r="A79" s="23">
        <v>120</v>
      </c>
      <c r="B79" s="12">
        <v>0.48103009259259261</v>
      </c>
      <c r="C79" s="12">
        <v>0.48122685185185188</v>
      </c>
      <c r="D79" s="13">
        <v>1.9675925925927151E-4</v>
      </c>
      <c r="E79" s="14">
        <v>17.000000000001059</v>
      </c>
      <c r="F79" s="15">
        <v>1.4117647058822651</v>
      </c>
      <c r="G79" s="16" t="s">
        <v>125</v>
      </c>
      <c r="H79" s="16" t="s">
        <v>14</v>
      </c>
      <c r="I79" s="16">
        <v>24</v>
      </c>
      <c r="J79" s="16" t="s">
        <v>15</v>
      </c>
      <c r="K79" s="16" t="s">
        <v>15</v>
      </c>
      <c r="L79" s="16" t="s">
        <v>15</v>
      </c>
      <c r="M79" s="16" t="s">
        <v>15</v>
      </c>
      <c r="N79" s="16" t="s">
        <v>15</v>
      </c>
      <c r="O79" s="16" t="s">
        <v>51</v>
      </c>
      <c r="P79" s="16"/>
      <c r="Q79" s="16" t="s">
        <v>206</v>
      </c>
      <c r="R79" s="16" t="str">
        <f t="shared" si="13"/>
        <v>N</v>
      </c>
      <c r="S79" s="21" t="str">
        <f t="shared" si="14"/>
        <v>N</v>
      </c>
      <c r="T79" s="21" t="str">
        <f t="shared" si="15"/>
        <v>N</v>
      </c>
      <c r="U79" s="21" t="str">
        <f t="shared" si="16"/>
        <v>N</v>
      </c>
      <c r="V79" s="16" t="str">
        <f t="shared" si="17"/>
        <v>N</v>
      </c>
      <c r="W79" s="21" t="str">
        <f t="shared" si="12"/>
        <v>N</v>
      </c>
      <c r="X79" s="21" t="str">
        <f t="shared" si="12"/>
        <v>N</v>
      </c>
      <c r="Y79" s="21" t="str">
        <f t="shared" si="18"/>
        <v>N</v>
      </c>
      <c r="Z79" s="16" t="str">
        <f t="shared" si="19"/>
        <v>Y</v>
      </c>
      <c r="AA79" s="16" t="s">
        <v>15</v>
      </c>
      <c r="AB79" s="16" t="s">
        <v>15</v>
      </c>
      <c r="AC79" s="21" t="s">
        <v>16</v>
      </c>
    </row>
    <row r="80" spans="1:29">
      <c r="A80" s="22">
        <v>122</v>
      </c>
      <c r="B80" s="17">
        <v>0.48112268518518514</v>
      </c>
      <c r="C80" s="17">
        <v>0.48129629629629633</v>
      </c>
      <c r="D80" s="18">
        <v>1.7361111111119376E-4</v>
      </c>
      <c r="E80" s="19">
        <v>15.000000000007141</v>
      </c>
      <c r="F80" s="20">
        <v>1.5999999999992383</v>
      </c>
      <c r="G80" s="21" t="s">
        <v>126</v>
      </c>
      <c r="H80" s="21" t="s">
        <v>14</v>
      </c>
      <c r="I80" s="21">
        <v>24</v>
      </c>
      <c r="J80" s="21" t="s">
        <v>15</v>
      </c>
      <c r="K80" s="21" t="s">
        <v>15</v>
      </c>
      <c r="L80" s="21" t="s">
        <v>15</v>
      </c>
      <c r="M80" s="21" t="s">
        <v>15</v>
      </c>
      <c r="N80" s="21" t="s">
        <v>15</v>
      </c>
      <c r="O80" s="21" t="s">
        <v>51</v>
      </c>
      <c r="P80" s="21" t="s">
        <v>16</v>
      </c>
      <c r="Q80" s="21"/>
      <c r="R80" s="16" t="str">
        <f t="shared" si="13"/>
        <v>N</v>
      </c>
      <c r="S80" s="21" t="str">
        <f t="shared" si="14"/>
        <v>N</v>
      </c>
      <c r="T80" s="21" t="str">
        <f t="shared" si="15"/>
        <v>N</v>
      </c>
      <c r="U80" s="21" t="str">
        <f t="shared" si="16"/>
        <v>N</v>
      </c>
      <c r="V80" s="16" t="str">
        <f t="shared" si="17"/>
        <v>N</v>
      </c>
      <c r="W80" s="21" t="str">
        <f t="shared" si="12"/>
        <v>N</v>
      </c>
      <c r="X80" s="21" t="str">
        <f t="shared" si="12"/>
        <v>N</v>
      </c>
      <c r="Y80" s="21" t="str">
        <f t="shared" si="18"/>
        <v>N</v>
      </c>
      <c r="Z80" s="16" t="str">
        <f t="shared" si="19"/>
        <v>N</v>
      </c>
      <c r="AA80" s="16" t="s">
        <v>15</v>
      </c>
      <c r="AB80" s="16" t="s">
        <v>15</v>
      </c>
      <c r="AC80" s="21" t="s">
        <v>16</v>
      </c>
    </row>
    <row r="81" spans="1:29">
      <c r="A81" s="23">
        <v>123</v>
      </c>
      <c r="B81" s="12">
        <v>0.48113425925925929</v>
      </c>
      <c r="C81" s="12">
        <v>0.48130787037037037</v>
      </c>
      <c r="D81" s="13">
        <v>1.7361111111108274E-4</v>
      </c>
      <c r="E81" s="14">
        <v>14.999999999997549</v>
      </c>
      <c r="F81" s="15">
        <v>1.6000000000002614</v>
      </c>
      <c r="G81" s="16" t="s">
        <v>128</v>
      </c>
      <c r="H81" s="16" t="s">
        <v>14</v>
      </c>
      <c r="I81" s="16">
        <v>24</v>
      </c>
      <c r="J81" s="16" t="s">
        <v>15</v>
      </c>
      <c r="K81" s="16" t="s">
        <v>15</v>
      </c>
      <c r="L81" s="16" t="s">
        <v>15</v>
      </c>
      <c r="M81" s="16" t="s">
        <v>15</v>
      </c>
      <c r="N81" s="16" t="s">
        <v>15</v>
      </c>
      <c r="O81" s="16" t="s">
        <v>51</v>
      </c>
      <c r="P81" s="16"/>
      <c r="Q81" s="16" t="s">
        <v>207</v>
      </c>
      <c r="R81" s="16" t="str">
        <f t="shared" si="13"/>
        <v>N</v>
      </c>
      <c r="S81" s="21" t="str">
        <f t="shared" si="14"/>
        <v>N</v>
      </c>
      <c r="T81" s="21" t="str">
        <f t="shared" si="15"/>
        <v>N</v>
      </c>
      <c r="U81" s="21" t="str">
        <f t="shared" si="16"/>
        <v>N</v>
      </c>
      <c r="V81" s="16" t="str">
        <f t="shared" si="17"/>
        <v>N</v>
      </c>
      <c r="W81" s="21" t="str">
        <f t="shared" si="12"/>
        <v>N</v>
      </c>
      <c r="X81" s="21" t="str">
        <f t="shared" si="12"/>
        <v>N</v>
      </c>
      <c r="Y81" s="21" t="str">
        <f t="shared" si="18"/>
        <v>N</v>
      </c>
      <c r="Z81" s="16" t="str">
        <f t="shared" si="19"/>
        <v>N</v>
      </c>
      <c r="AA81" s="16" t="s">
        <v>15</v>
      </c>
      <c r="AB81" s="16" t="s">
        <v>15</v>
      </c>
      <c r="AC81" s="21" t="s">
        <v>16</v>
      </c>
    </row>
    <row r="82" spans="1:29">
      <c r="A82" s="22">
        <v>124</v>
      </c>
      <c r="B82" s="17">
        <v>0.48114583333333333</v>
      </c>
      <c r="C82" s="17">
        <v>0.48142361111111115</v>
      </c>
      <c r="D82" s="18">
        <v>2.777777777778212E-4</v>
      </c>
      <c r="E82" s="19">
        <v>24.000000000003752</v>
      </c>
      <c r="F82" s="20">
        <v>0.99999999999984368</v>
      </c>
      <c r="G82" s="21" t="s">
        <v>129</v>
      </c>
      <c r="H82" s="21" t="s">
        <v>14</v>
      </c>
      <c r="I82" s="21">
        <v>24</v>
      </c>
      <c r="J82" s="21" t="s">
        <v>16</v>
      </c>
      <c r="K82" s="21" t="s">
        <v>15</v>
      </c>
      <c r="L82" s="21" t="s">
        <v>15</v>
      </c>
      <c r="M82" s="21" t="s">
        <v>15</v>
      </c>
      <c r="N82" s="21" t="s">
        <v>15</v>
      </c>
      <c r="O82" s="21" t="s">
        <v>17</v>
      </c>
      <c r="P82" s="21" t="s">
        <v>16</v>
      </c>
      <c r="Q82" s="21"/>
      <c r="R82" s="16" t="str">
        <f t="shared" si="13"/>
        <v>N</v>
      </c>
      <c r="S82" s="21" t="str">
        <f t="shared" si="14"/>
        <v>N</v>
      </c>
      <c r="T82" s="21" t="str">
        <f t="shared" si="15"/>
        <v>N</v>
      </c>
      <c r="U82" s="21" t="str">
        <f t="shared" si="16"/>
        <v>N</v>
      </c>
      <c r="V82" s="16" t="str">
        <f t="shared" si="17"/>
        <v>N</v>
      </c>
      <c r="W82" s="21" t="str">
        <f t="shared" ref="W82:X130" si="20">IF(V81="Y","Y","N")</f>
        <v>N</v>
      </c>
      <c r="X82" s="21" t="str">
        <f t="shared" si="20"/>
        <v>N</v>
      </c>
      <c r="Y82" s="21" t="str">
        <f t="shared" si="18"/>
        <v>N</v>
      </c>
      <c r="Z82" s="16" t="str">
        <f t="shared" si="19"/>
        <v>N</v>
      </c>
      <c r="AA82" s="16" t="s">
        <v>15</v>
      </c>
      <c r="AB82" s="16" t="s">
        <v>15</v>
      </c>
      <c r="AC82" s="21" t="s">
        <v>16</v>
      </c>
    </row>
    <row r="83" spans="1:29">
      <c r="A83" s="23">
        <v>125</v>
      </c>
      <c r="B83" s="12">
        <v>0.48115740740740742</v>
      </c>
      <c r="C83" s="12">
        <v>0.48148148148148145</v>
      </c>
      <c r="D83" s="13">
        <v>3.2407407407403221E-4</v>
      </c>
      <c r="E83" s="14">
        <v>27.999999999996383</v>
      </c>
      <c r="F83" s="15">
        <v>0.8571428571429679</v>
      </c>
      <c r="G83" s="16" t="s">
        <v>130</v>
      </c>
      <c r="H83" s="16" t="s">
        <v>14</v>
      </c>
      <c r="I83" s="16">
        <v>24</v>
      </c>
      <c r="J83" s="16" t="s">
        <v>16</v>
      </c>
      <c r="K83" s="16" t="s">
        <v>15</v>
      </c>
      <c r="L83" s="16" t="s">
        <v>15</v>
      </c>
      <c r="M83" s="16" t="s">
        <v>15</v>
      </c>
      <c r="N83" s="16" t="s">
        <v>16</v>
      </c>
      <c r="O83" s="16" t="s">
        <v>17</v>
      </c>
      <c r="P83" s="16" t="s">
        <v>16</v>
      </c>
      <c r="Q83" s="16"/>
      <c r="R83" s="16" t="str">
        <f t="shared" si="13"/>
        <v>N</v>
      </c>
      <c r="S83" s="21" t="str">
        <f t="shared" si="14"/>
        <v>N</v>
      </c>
      <c r="T83" s="21" t="str">
        <f t="shared" si="15"/>
        <v>N</v>
      </c>
      <c r="U83" s="21" t="str">
        <f t="shared" si="16"/>
        <v>N</v>
      </c>
      <c r="V83" s="16" t="str">
        <f t="shared" si="17"/>
        <v>N</v>
      </c>
      <c r="W83" s="21" t="str">
        <f t="shared" si="20"/>
        <v>N</v>
      </c>
      <c r="X83" s="21" t="str">
        <f t="shared" si="20"/>
        <v>N</v>
      </c>
      <c r="Y83" s="21" t="str">
        <f t="shared" si="18"/>
        <v>N</v>
      </c>
      <c r="Z83" s="16" t="str">
        <f t="shared" si="19"/>
        <v>Y</v>
      </c>
      <c r="AA83" s="16" t="s">
        <v>15</v>
      </c>
      <c r="AB83" s="16" t="s">
        <v>15</v>
      </c>
      <c r="AC83" s="21" t="s">
        <v>16</v>
      </c>
    </row>
    <row r="84" spans="1:29">
      <c r="A84" s="22">
        <v>126</v>
      </c>
      <c r="B84" s="17">
        <v>0.48119212962962959</v>
      </c>
      <c r="C84" s="17">
        <v>0.48142361111111115</v>
      </c>
      <c r="D84" s="18">
        <v>2.3148148148155467E-4</v>
      </c>
      <c r="E84" s="19">
        <v>20.000000000006324</v>
      </c>
      <c r="F84" s="20">
        <v>1.1999999999996205</v>
      </c>
      <c r="G84" s="21" t="s">
        <v>131</v>
      </c>
      <c r="H84" s="21" t="s">
        <v>14</v>
      </c>
      <c r="I84" s="21">
        <v>24</v>
      </c>
      <c r="J84" s="21" t="s">
        <v>15</v>
      </c>
      <c r="K84" s="21" t="s">
        <v>15</v>
      </c>
      <c r="L84" s="21" t="s">
        <v>15</v>
      </c>
      <c r="M84" s="21" t="s">
        <v>15</v>
      </c>
      <c r="N84" s="21" t="s">
        <v>15</v>
      </c>
      <c r="O84" s="21" t="s">
        <v>51</v>
      </c>
      <c r="P84" s="21" t="s">
        <v>16</v>
      </c>
      <c r="Q84" s="21"/>
      <c r="R84" s="16" t="str">
        <f t="shared" si="13"/>
        <v>N</v>
      </c>
      <c r="S84" s="21" t="str">
        <f t="shared" si="14"/>
        <v>N</v>
      </c>
      <c r="T84" s="21" t="str">
        <f t="shared" si="15"/>
        <v>N</v>
      </c>
      <c r="U84" s="21" t="str">
        <f t="shared" si="16"/>
        <v>N</v>
      </c>
      <c r="V84" s="16" t="str">
        <f t="shared" si="17"/>
        <v>N</v>
      </c>
      <c r="W84" s="21" t="str">
        <f t="shared" si="20"/>
        <v>N</v>
      </c>
      <c r="X84" s="21" t="str">
        <f t="shared" si="20"/>
        <v>N</v>
      </c>
      <c r="Y84" s="21" t="str">
        <f t="shared" si="18"/>
        <v>N</v>
      </c>
      <c r="Z84" s="16" t="str">
        <f t="shared" si="19"/>
        <v>Y</v>
      </c>
      <c r="AA84" s="16" t="s">
        <v>15</v>
      </c>
      <c r="AB84" s="16" t="s">
        <v>15</v>
      </c>
      <c r="AC84" s="21" t="s">
        <v>16</v>
      </c>
    </row>
    <row r="85" spans="1:29">
      <c r="A85" s="23">
        <v>127</v>
      </c>
      <c r="B85" s="12">
        <v>0.48120370370370374</v>
      </c>
      <c r="C85" s="12">
        <v>0.48148148148148145</v>
      </c>
      <c r="D85" s="13">
        <v>2.7777777777771018E-4</v>
      </c>
      <c r="E85" s="14">
        <v>23.999999999994159</v>
      </c>
      <c r="F85" s="15">
        <v>1.0000000000002434</v>
      </c>
      <c r="G85" s="16" t="s">
        <v>132</v>
      </c>
      <c r="H85" s="16" t="s">
        <v>14</v>
      </c>
      <c r="I85" s="16">
        <v>24</v>
      </c>
      <c r="J85" s="16" t="s">
        <v>15</v>
      </c>
      <c r="K85" s="16" t="s">
        <v>15</v>
      </c>
      <c r="L85" s="16" t="s">
        <v>15</v>
      </c>
      <c r="M85" s="16" t="s">
        <v>15</v>
      </c>
      <c r="N85" s="16" t="s">
        <v>16</v>
      </c>
      <c r="O85" s="16" t="s">
        <v>17</v>
      </c>
      <c r="P85" s="16"/>
      <c r="Q85" s="16" t="s">
        <v>208</v>
      </c>
      <c r="R85" s="16" t="str">
        <f t="shared" si="13"/>
        <v>N</v>
      </c>
      <c r="S85" s="21" t="str">
        <f t="shared" si="14"/>
        <v>N</v>
      </c>
      <c r="T85" s="21" t="str">
        <f t="shared" si="15"/>
        <v>N</v>
      </c>
      <c r="U85" s="21" t="str">
        <f t="shared" si="16"/>
        <v>N</v>
      </c>
      <c r="V85" s="16" t="str">
        <f t="shared" si="17"/>
        <v>N</v>
      </c>
      <c r="W85" s="21" t="str">
        <f t="shared" si="20"/>
        <v>N</v>
      </c>
      <c r="X85" s="21" t="str">
        <f t="shared" si="20"/>
        <v>N</v>
      </c>
      <c r="Y85" s="21" t="str">
        <f t="shared" si="18"/>
        <v>N</v>
      </c>
      <c r="Z85" s="16" t="str">
        <f t="shared" si="19"/>
        <v>N</v>
      </c>
      <c r="AA85" s="16" t="s">
        <v>15</v>
      </c>
      <c r="AB85" s="16" t="s">
        <v>15</v>
      </c>
      <c r="AC85" s="21" t="s">
        <v>16</v>
      </c>
    </row>
    <row r="86" spans="1:29">
      <c r="A86" s="22">
        <v>128</v>
      </c>
      <c r="B86" s="17">
        <v>0.48122685185185188</v>
      </c>
      <c r="C86" s="17">
        <v>0.48148148148148145</v>
      </c>
      <c r="D86" s="18">
        <v>2.5462962962957691E-4</v>
      </c>
      <c r="E86" s="19">
        <v>21.999999999995445</v>
      </c>
      <c r="F86" s="20">
        <v>1.0909090909093166</v>
      </c>
      <c r="G86" s="21" t="s">
        <v>133</v>
      </c>
      <c r="H86" s="21" t="s">
        <v>14</v>
      </c>
      <c r="I86" s="21">
        <v>24</v>
      </c>
      <c r="J86" s="21" t="s">
        <v>15</v>
      </c>
      <c r="K86" s="21" t="s">
        <v>15</v>
      </c>
      <c r="L86" s="21" t="s">
        <v>15</v>
      </c>
      <c r="M86" s="21" t="s">
        <v>15</v>
      </c>
      <c r="N86" s="21" t="s">
        <v>16</v>
      </c>
      <c r="O86" s="21" t="s">
        <v>51</v>
      </c>
      <c r="P86" s="21"/>
      <c r="Q86" s="21"/>
      <c r="R86" s="16" t="str">
        <f t="shared" si="13"/>
        <v>N</v>
      </c>
      <c r="S86" s="21" t="str">
        <f t="shared" si="14"/>
        <v>N</v>
      </c>
      <c r="T86" s="21" t="str">
        <f t="shared" si="15"/>
        <v>N</v>
      </c>
      <c r="U86" s="21" t="str">
        <f t="shared" si="16"/>
        <v>N</v>
      </c>
      <c r="V86" s="16" t="str">
        <f t="shared" si="17"/>
        <v>N</v>
      </c>
      <c r="W86" s="21" t="str">
        <f t="shared" si="20"/>
        <v>N</v>
      </c>
      <c r="X86" s="21" t="str">
        <f t="shared" si="20"/>
        <v>N</v>
      </c>
      <c r="Y86" s="21" t="str">
        <f t="shared" si="18"/>
        <v>N</v>
      </c>
      <c r="Z86" s="16" t="str">
        <f t="shared" si="19"/>
        <v>N</v>
      </c>
      <c r="AA86" s="16" t="s">
        <v>15</v>
      </c>
      <c r="AB86" s="16" t="s">
        <v>15</v>
      </c>
      <c r="AC86" s="21" t="s">
        <v>16</v>
      </c>
    </row>
    <row r="87" spans="1:29">
      <c r="A87" s="23">
        <v>129</v>
      </c>
      <c r="B87" s="12">
        <v>0.4812731481481482</v>
      </c>
      <c r="C87" s="12">
        <v>0.48148148148148145</v>
      </c>
      <c r="D87" s="13">
        <v>2.0833333333325488E-4</v>
      </c>
      <c r="E87" s="14">
        <v>17.999999999993221</v>
      </c>
      <c r="F87" s="15">
        <v>1.3333333333338355</v>
      </c>
      <c r="G87" s="16" t="s">
        <v>134</v>
      </c>
      <c r="H87" s="16" t="s">
        <v>14</v>
      </c>
      <c r="I87" s="16">
        <v>24</v>
      </c>
      <c r="J87" s="16" t="s">
        <v>15</v>
      </c>
      <c r="K87" s="16" t="s">
        <v>15</v>
      </c>
      <c r="L87" s="16" t="s">
        <v>15</v>
      </c>
      <c r="M87" s="16" t="s">
        <v>15</v>
      </c>
      <c r="N87" s="16" t="s">
        <v>15</v>
      </c>
      <c r="O87" s="16" t="s">
        <v>51</v>
      </c>
      <c r="P87" s="16"/>
      <c r="Q87" s="16"/>
      <c r="R87" s="16" t="str">
        <f t="shared" si="13"/>
        <v>N</v>
      </c>
      <c r="S87" s="21" t="str">
        <f t="shared" si="14"/>
        <v>N</v>
      </c>
      <c r="T87" s="21" t="str">
        <f t="shared" si="15"/>
        <v>N</v>
      </c>
      <c r="U87" s="21" t="str">
        <f t="shared" si="16"/>
        <v>N</v>
      </c>
      <c r="V87" s="16" t="str">
        <f t="shared" si="17"/>
        <v>N</v>
      </c>
      <c r="W87" s="21" t="str">
        <f t="shared" si="20"/>
        <v>N</v>
      </c>
      <c r="X87" s="21" t="str">
        <f t="shared" si="20"/>
        <v>N</v>
      </c>
      <c r="Y87" s="21" t="str">
        <f t="shared" si="18"/>
        <v>N</v>
      </c>
      <c r="Z87" s="16" t="str">
        <f t="shared" si="19"/>
        <v>N</v>
      </c>
      <c r="AA87" s="16" t="s">
        <v>15</v>
      </c>
      <c r="AB87" s="16" t="s">
        <v>15</v>
      </c>
      <c r="AC87" s="21" t="s">
        <v>16</v>
      </c>
    </row>
    <row r="88" spans="1:29">
      <c r="A88" s="22">
        <v>130</v>
      </c>
      <c r="B88" s="17">
        <v>0.48140046296296296</v>
      </c>
      <c r="C88" s="17">
        <v>0.48164351851851855</v>
      </c>
      <c r="D88" s="18">
        <v>2.4305555555559355E-4</v>
      </c>
      <c r="E88" s="19">
        <v>21.000000000003283</v>
      </c>
      <c r="F88" s="20">
        <v>1.1428571428569643</v>
      </c>
      <c r="G88" s="21" t="s">
        <v>135</v>
      </c>
      <c r="H88" s="21" t="s">
        <v>14</v>
      </c>
      <c r="I88" s="21">
        <v>24</v>
      </c>
      <c r="J88" s="21" t="s">
        <v>15</v>
      </c>
      <c r="K88" s="21" t="s">
        <v>15</v>
      </c>
      <c r="L88" s="21" t="s">
        <v>15</v>
      </c>
      <c r="M88" s="21" t="s">
        <v>15</v>
      </c>
      <c r="N88" s="21" t="s">
        <v>15</v>
      </c>
      <c r="O88" s="21" t="s">
        <v>51</v>
      </c>
      <c r="P88" s="21"/>
      <c r="Q88" s="21"/>
      <c r="R88" s="16" t="str">
        <f t="shared" si="13"/>
        <v>N</v>
      </c>
      <c r="S88" s="21" t="str">
        <f t="shared" si="14"/>
        <v>N</v>
      </c>
      <c r="T88" s="21" t="str">
        <f t="shared" si="15"/>
        <v>N</v>
      </c>
      <c r="U88" s="21" t="str">
        <f t="shared" si="16"/>
        <v>N</v>
      </c>
      <c r="V88" s="16" t="str">
        <f t="shared" si="17"/>
        <v>N</v>
      </c>
      <c r="W88" s="21" t="str">
        <f t="shared" si="20"/>
        <v>N</v>
      </c>
      <c r="X88" s="21" t="str">
        <f t="shared" si="20"/>
        <v>N</v>
      </c>
      <c r="Y88" s="21" t="str">
        <f t="shared" si="18"/>
        <v>N</v>
      </c>
      <c r="Z88" s="16" t="str">
        <f t="shared" si="19"/>
        <v>N</v>
      </c>
      <c r="AA88" s="16" t="s">
        <v>15</v>
      </c>
      <c r="AB88" s="16" t="s">
        <v>15</v>
      </c>
      <c r="AC88" s="21" t="s">
        <v>16</v>
      </c>
    </row>
    <row r="89" spans="1:29">
      <c r="A89" s="23">
        <v>131</v>
      </c>
      <c r="B89" s="12">
        <v>0.4814930555555556</v>
      </c>
      <c r="C89" s="12">
        <v>0.48171296296296301</v>
      </c>
      <c r="D89" s="13">
        <v>2.1990740740740478E-4</v>
      </c>
      <c r="E89" s="14">
        <v>18.999999999999773</v>
      </c>
      <c r="F89" s="15">
        <v>1.2631578947368571</v>
      </c>
      <c r="G89" s="16" t="s">
        <v>136</v>
      </c>
      <c r="H89" s="16" t="s">
        <v>14</v>
      </c>
      <c r="I89" s="16">
        <v>24</v>
      </c>
      <c r="J89" s="16" t="s">
        <v>15</v>
      </c>
      <c r="K89" s="16" t="s">
        <v>15</v>
      </c>
      <c r="L89" s="16" t="s">
        <v>15</v>
      </c>
      <c r="M89" s="16" t="s">
        <v>15</v>
      </c>
      <c r="N89" s="16" t="s">
        <v>15</v>
      </c>
      <c r="O89" s="16" t="s">
        <v>17</v>
      </c>
      <c r="P89" s="16"/>
      <c r="Q89" s="16"/>
      <c r="R89" s="16" t="str">
        <f t="shared" si="13"/>
        <v>N</v>
      </c>
      <c r="S89" s="21" t="str">
        <f t="shared" si="14"/>
        <v>N</v>
      </c>
      <c r="T89" s="21" t="str">
        <f t="shared" si="15"/>
        <v>N</v>
      </c>
      <c r="U89" s="21" t="str">
        <f t="shared" si="16"/>
        <v>N</v>
      </c>
      <c r="V89" s="16" t="str">
        <f t="shared" si="17"/>
        <v>N</v>
      </c>
      <c r="W89" s="21" t="str">
        <f t="shared" si="20"/>
        <v>N</v>
      </c>
      <c r="X89" s="21" t="str">
        <f t="shared" si="20"/>
        <v>N</v>
      </c>
      <c r="Y89" s="21" t="str">
        <f t="shared" si="18"/>
        <v>N</v>
      </c>
      <c r="Z89" s="16" t="str">
        <f t="shared" si="19"/>
        <v>N</v>
      </c>
      <c r="AA89" s="16" t="s">
        <v>15</v>
      </c>
      <c r="AB89" s="16" t="s">
        <v>15</v>
      </c>
      <c r="AC89" s="21" t="s">
        <v>16</v>
      </c>
    </row>
    <row r="90" spans="1:29">
      <c r="A90" s="22">
        <v>132</v>
      </c>
      <c r="B90" s="17">
        <v>0.48150462962962964</v>
      </c>
      <c r="C90" s="17">
        <v>0.48178240740740735</v>
      </c>
      <c r="D90" s="18">
        <v>2.7777777777771018E-4</v>
      </c>
      <c r="E90" s="19">
        <v>23.999999999994159</v>
      </c>
      <c r="F90" s="20">
        <v>1.0000000000002434</v>
      </c>
      <c r="G90" s="21" t="s">
        <v>138</v>
      </c>
      <c r="H90" s="21" t="s">
        <v>14</v>
      </c>
      <c r="I90" s="21">
        <v>24</v>
      </c>
      <c r="J90" s="21" t="s">
        <v>16</v>
      </c>
      <c r="K90" s="21" t="s">
        <v>15</v>
      </c>
      <c r="L90" s="21" t="s">
        <v>15</v>
      </c>
      <c r="M90" s="21" t="s">
        <v>15</v>
      </c>
      <c r="N90" s="21" t="s">
        <v>15</v>
      </c>
      <c r="O90" s="21" t="s">
        <v>51</v>
      </c>
      <c r="P90" s="21" t="s">
        <v>16</v>
      </c>
      <c r="Q90" s="21"/>
      <c r="R90" s="16" t="str">
        <f t="shared" si="13"/>
        <v>N</v>
      </c>
      <c r="S90" s="21" t="str">
        <f t="shared" si="14"/>
        <v>N</v>
      </c>
      <c r="T90" s="21" t="str">
        <f t="shared" si="15"/>
        <v>N</v>
      </c>
      <c r="U90" s="21" t="str">
        <f t="shared" si="16"/>
        <v>N</v>
      </c>
      <c r="V90" s="16" t="str">
        <f t="shared" si="17"/>
        <v>N</v>
      </c>
      <c r="W90" s="21" t="str">
        <f t="shared" si="20"/>
        <v>N</v>
      </c>
      <c r="X90" s="21" t="str">
        <f t="shared" si="20"/>
        <v>N</v>
      </c>
      <c r="Y90" s="21" t="str">
        <f t="shared" si="18"/>
        <v>N</v>
      </c>
      <c r="Z90" s="16" t="str">
        <f t="shared" si="19"/>
        <v>N</v>
      </c>
      <c r="AA90" s="16" t="s">
        <v>15</v>
      </c>
      <c r="AB90" s="16" t="s">
        <v>15</v>
      </c>
      <c r="AC90" s="21" t="s">
        <v>16</v>
      </c>
    </row>
    <row r="91" spans="1:29">
      <c r="A91" s="23">
        <v>133</v>
      </c>
      <c r="B91" s="12">
        <v>0.48150462962962964</v>
      </c>
      <c r="C91" s="12">
        <v>0.48178240740740735</v>
      </c>
      <c r="D91" s="13">
        <v>2.7777777777771018E-4</v>
      </c>
      <c r="E91" s="14">
        <v>23.999999999994159</v>
      </c>
      <c r="F91" s="15">
        <v>1.0000000000002434</v>
      </c>
      <c r="G91" s="16" t="s">
        <v>137</v>
      </c>
      <c r="H91" s="16" t="s">
        <v>14</v>
      </c>
      <c r="I91" s="16">
        <v>24</v>
      </c>
      <c r="J91" s="16" t="s">
        <v>16</v>
      </c>
      <c r="K91" s="16" t="s">
        <v>15</v>
      </c>
      <c r="L91" s="16" t="s">
        <v>15</v>
      </c>
      <c r="M91" s="16" t="s">
        <v>15</v>
      </c>
      <c r="N91" s="16" t="s">
        <v>16</v>
      </c>
      <c r="O91" s="16" t="s">
        <v>17</v>
      </c>
      <c r="P91" s="16" t="s">
        <v>16</v>
      </c>
      <c r="Q91" s="16"/>
      <c r="R91" s="16" t="str">
        <f t="shared" si="13"/>
        <v>N</v>
      </c>
      <c r="S91" s="21" t="str">
        <f t="shared" si="14"/>
        <v>N</v>
      </c>
      <c r="T91" s="21" t="str">
        <f t="shared" si="15"/>
        <v>N</v>
      </c>
      <c r="U91" s="21" t="str">
        <f t="shared" si="16"/>
        <v>N</v>
      </c>
      <c r="V91" s="16" t="str">
        <f t="shared" si="17"/>
        <v>N</v>
      </c>
      <c r="W91" s="21" t="str">
        <f t="shared" si="20"/>
        <v>N</v>
      </c>
      <c r="X91" s="21" t="str">
        <f t="shared" si="20"/>
        <v>N</v>
      </c>
      <c r="Y91" s="21" t="str">
        <f t="shared" si="18"/>
        <v>N</v>
      </c>
      <c r="Z91" s="16" t="str">
        <f t="shared" si="19"/>
        <v>Y</v>
      </c>
      <c r="AA91" s="16" t="s">
        <v>15</v>
      </c>
      <c r="AB91" s="16" t="s">
        <v>15</v>
      </c>
      <c r="AC91" s="21" t="s">
        <v>16</v>
      </c>
    </row>
    <row r="92" spans="1:29">
      <c r="A92" s="22">
        <v>134</v>
      </c>
      <c r="B92" s="17">
        <v>0.48153935185185182</v>
      </c>
      <c r="C92" s="17">
        <v>0.48170138888888886</v>
      </c>
      <c r="D92" s="18">
        <v>1.6203703703704386E-4</v>
      </c>
      <c r="E92" s="19">
        <v>14.00000000000059</v>
      </c>
      <c r="F92" s="20">
        <v>1.714285714285642</v>
      </c>
      <c r="G92" s="21" t="s">
        <v>139</v>
      </c>
      <c r="H92" s="21" t="s">
        <v>14</v>
      </c>
      <c r="I92" s="21">
        <v>24</v>
      </c>
      <c r="J92" s="21" t="s">
        <v>15</v>
      </c>
      <c r="K92" s="21" t="s">
        <v>15</v>
      </c>
      <c r="L92" s="21" t="s">
        <v>15</v>
      </c>
      <c r="M92" s="21" t="s">
        <v>15</v>
      </c>
      <c r="N92" s="21" t="s">
        <v>15</v>
      </c>
      <c r="O92" s="21" t="s">
        <v>51</v>
      </c>
      <c r="P92" s="21"/>
      <c r="Q92" s="21" t="s">
        <v>204</v>
      </c>
      <c r="R92" s="16" t="str">
        <f t="shared" si="13"/>
        <v>N</v>
      </c>
      <c r="S92" s="21" t="str">
        <f t="shared" si="14"/>
        <v>N</v>
      </c>
      <c r="T92" s="21" t="str">
        <f t="shared" si="15"/>
        <v>N</v>
      </c>
      <c r="U92" s="21" t="str">
        <f t="shared" si="16"/>
        <v>N</v>
      </c>
      <c r="V92" s="16" t="str">
        <f t="shared" si="17"/>
        <v>N</v>
      </c>
      <c r="W92" s="21" t="str">
        <f t="shared" si="20"/>
        <v>N</v>
      </c>
      <c r="X92" s="21" t="str">
        <f t="shared" si="20"/>
        <v>N</v>
      </c>
      <c r="Y92" s="21" t="str">
        <f t="shared" si="18"/>
        <v>N</v>
      </c>
      <c r="Z92" s="16" t="str">
        <f t="shared" si="19"/>
        <v>Y</v>
      </c>
      <c r="AA92" s="16" t="s">
        <v>15</v>
      </c>
      <c r="AB92" s="16" t="s">
        <v>15</v>
      </c>
      <c r="AC92" s="21" t="s">
        <v>16</v>
      </c>
    </row>
    <row r="93" spans="1:29">
      <c r="A93" s="23">
        <v>136</v>
      </c>
      <c r="B93" s="12">
        <v>0.48158564814814814</v>
      </c>
      <c r="C93" s="12">
        <v>0.48182870370370368</v>
      </c>
      <c r="D93" s="13">
        <v>2.4305555555553804E-4</v>
      </c>
      <c r="E93" s="14">
        <v>20.999999999998487</v>
      </c>
      <c r="F93" s="15">
        <v>1.1428571428572252</v>
      </c>
      <c r="G93" s="16" t="s">
        <v>141</v>
      </c>
      <c r="H93" s="16" t="s">
        <v>14</v>
      </c>
      <c r="I93" s="16">
        <v>24</v>
      </c>
      <c r="J93" s="16" t="s">
        <v>15</v>
      </c>
      <c r="K93" s="16" t="s">
        <v>15</v>
      </c>
      <c r="L93" s="16" t="s">
        <v>15</v>
      </c>
      <c r="M93" s="16" t="s">
        <v>15</v>
      </c>
      <c r="N93" s="16" t="s">
        <v>16</v>
      </c>
      <c r="O93" s="16" t="s">
        <v>17</v>
      </c>
      <c r="P93" s="16"/>
      <c r="Q93" s="16"/>
      <c r="R93" s="16" t="str">
        <f t="shared" si="13"/>
        <v>N</v>
      </c>
      <c r="S93" s="21" t="str">
        <f t="shared" si="14"/>
        <v>N</v>
      </c>
      <c r="T93" s="21" t="str">
        <f t="shared" si="15"/>
        <v>N</v>
      </c>
      <c r="U93" s="21" t="str">
        <f t="shared" si="16"/>
        <v>N</v>
      </c>
      <c r="V93" s="16" t="str">
        <f t="shared" si="17"/>
        <v>N</v>
      </c>
      <c r="W93" s="21" t="str">
        <f t="shared" si="20"/>
        <v>N</v>
      </c>
      <c r="X93" s="21" t="str">
        <f t="shared" si="20"/>
        <v>N</v>
      </c>
      <c r="Y93" s="21" t="str">
        <f t="shared" si="18"/>
        <v>N</v>
      </c>
      <c r="Z93" s="16" t="str">
        <f t="shared" si="19"/>
        <v>N</v>
      </c>
      <c r="AA93" s="16" t="s">
        <v>15</v>
      </c>
      <c r="AB93" s="16" t="s">
        <v>15</v>
      </c>
      <c r="AC93" s="21" t="s">
        <v>16</v>
      </c>
    </row>
    <row r="94" spans="1:29">
      <c r="A94" s="22">
        <v>137</v>
      </c>
      <c r="B94" s="17">
        <v>0.48160879629629627</v>
      </c>
      <c r="C94" s="17">
        <v>0.48184027777777777</v>
      </c>
      <c r="D94" s="18">
        <v>2.3148148148149916E-4</v>
      </c>
      <c r="E94" s="19">
        <v>20.000000000001528</v>
      </c>
      <c r="F94" s="20">
        <v>1.1999999999999083</v>
      </c>
      <c r="G94" s="21" t="s">
        <v>142</v>
      </c>
      <c r="H94" s="21" t="s">
        <v>14</v>
      </c>
      <c r="I94" s="21">
        <v>24</v>
      </c>
      <c r="J94" s="21" t="s">
        <v>15</v>
      </c>
      <c r="K94" s="21" t="s">
        <v>15</v>
      </c>
      <c r="L94" s="21" t="s">
        <v>15</v>
      </c>
      <c r="M94" s="21" t="s">
        <v>15</v>
      </c>
      <c r="N94" s="21" t="s">
        <v>16</v>
      </c>
      <c r="O94" s="21" t="s">
        <v>51</v>
      </c>
      <c r="P94" s="21"/>
      <c r="Q94" s="21"/>
      <c r="R94" s="16" t="str">
        <f t="shared" si="13"/>
        <v>N</v>
      </c>
      <c r="S94" s="21" t="str">
        <f t="shared" si="14"/>
        <v>N</v>
      </c>
      <c r="T94" s="21" t="str">
        <f t="shared" si="15"/>
        <v>N</v>
      </c>
      <c r="U94" s="21" t="str">
        <f t="shared" si="16"/>
        <v>N</v>
      </c>
      <c r="V94" s="16" t="str">
        <f t="shared" si="17"/>
        <v>N</v>
      </c>
      <c r="W94" s="21" t="str">
        <f t="shared" si="20"/>
        <v>N</v>
      </c>
      <c r="X94" s="21" t="str">
        <f t="shared" si="20"/>
        <v>N</v>
      </c>
      <c r="Y94" s="21" t="str">
        <f t="shared" si="18"/>
        <v>N</v>
      </c>
      <c r="Z94" s="16" t="str">
        <f t="shared" si="19"/>
        <v>N</v>
      </c>
      <c r="AA94" s="16" t="s">
        <v>15</v>
      </c>
      <c r="AB94" s="16" t="s">
        <v>15</v>
      </c>
      <c r="AC94" s="21" t="s">
        <v>16</v>
      </c>
    </row>
    <row r="95" spans="1:29">
      <c r="A95" s="23">
        <v>139</v>
      </c>
      <c r="B95" s="12">
        <v>0.48167824074074073</v>
      </c>
      <c r="C95" s="12">
        <v>0.48194444444444445</v>
      </c>
      <c r="D95" s="13">
        <v>2.6620370370372681E-4</v>
      </c>
      <c r="E95" s="14">
        <v>23.000000000001997</v>
      </c>
      <c r="F95" s="15">
        <v>1.0434782608694746</v>
      </c>
      <c r="G95" s="16" t="s">
        <v>143</v>
      </c>
      <c r="H95" s="16" t="s">
        <v>14</v>
      </c>
      <c r="I95" s="16">
        <v>24</v>
      </c>
      <c r="J95" s="16" t="s">
        <v>15</v>
      </c>
      <c r="K95" s="16" t="s">
        <v>15</v>
      </c>
      <c r="L95" s="16" t="s">
        <v>15</v>
      </c>
      <c r="M95" s="16" t="s">
        <v>15</v>
      </c>
      <c r="N95" s="16" t="s">
        <v>15</v>
      </c>
      <c r="O95" s="16" t="s">
        <v>17</v>
      </c>
      <c r="P95" s="16"/>
      <c r="Q95" s="16"/>
      <c r="R95" s="16" t="str">
        <f t="shared" si="13"/>
        <v>N</v>
      </c>
      <c r="S95" s="21" t="str">
        <f t="shared" si="14"/>
        <v>N</v>
      </c>
      <c r="T95" s="21" t="str">
        <f t="shared" si="15"/>
        <v>N</v>
      </c>
      <c r="U95" s="21" t="str">
        <f t="shared" si="16"/>
        <v>N</v>
      </c>
      <c r="V95" s="16" t="str">
        <f t="shared" si="17"/>
        <v>N</v>
      </c>
      <c r="W95" s="21" t="str">
        <f t="shared" si="20"/>
        <v>N</v>
      </c>
      <c r="X95" s="21" t="str">
        <f t="shared" si="20"/>
        <v>N</v>
      </c>
      <c r="Y95" s="21" t="str">
        <f t="shared" si="18"/>
        <v>N</v>
      </c>
      <c r="Z95" s="16" t="str">
        <f t="shared" si="19"/>
        <v>N</v>
      </c>
      <c r="AA95" s="16" t="s">
        <v>15</v>
      </c>
      <c r="AB95" s="16" t="s">
        <v>15</v>
      </c>
      <c r="AC95" s="21" t="s">
        <v>16</v>
      </c>
    </row>
    <row r="96" spans="1:29">
      <c r="A96" s="22">
        <v>140</v>
      </c>
      <c r="B96" s="17">
        <v>0.48170138888888886</v>
      </c>
      <c r="C96" s="17">
        <v>0.48334490740740743</v>
      </c>
      <c r="D96" s="18">
        <v>1.6435185185185719E-3</v>
      </c>
      <c r="E96" s="19">
        <v>142.0000000000046</v>
      </c>
      <c r="F96" s="20">
        <v>0.16901408450703678</v>
      </c>
      <c r="G96" s="21" t="s">
        <v>144</v>
      </c>
      <c r="H96" s="21" t="s">
        <v>14</v>
      </c>
      <c r="I96" s="21">
        <v>24</v>
      </c>
      <c r="J96" s="21" t="s">
        <v>16</v>
      </c>
      <c r="K96" s="21" t="s">
        <v>16</v>
      </c>
      <c r="L96" s="21" t="s">
        <v>15</v>
      </c>
      <c r="M96" s="21" t="s">
        <v>16</v>
      </c>
      <c r="N96" s="21" t="s">
        <v>16</v>
      </c>
      <c r="O96" s="21" t="s">
        <v>51</v>
      </c>
      <c r="P96" s="21"/>
      <c r="Q96" s="21"/>
      <c r="R96" s="16" t="str">
        <f t="shared" si="13"/>
        <v>N</v>
      </c>
      <c r="S96" s="21" t="str">
        <f t="shared" si="14"/>
        <v>N</v>
      </c>
      <c r="T96" s="21" t="str">
        <f t="shared" si="15"/>
        <v>N</v>
      </c>
      <c r="U96" s="21" t="str">
        <f t="shared" si="16"/>
        <v>N</v>
      </c>
      <c r="V96" s="16" t="str">
        <f t="shared" si="17"/>
        <v>N</v>
      </c>
      <c r="W96" s="21" t="str">
        <f t="shared" si="20"/>
        <v>N</v>
      </c>
      <c r="X96" s="21" t="str">
        <f t="shared" si="20"/>
        <v>N</v>
      </c>
      <c r="Y96" s="21" t="str">
        <f t="shared" si="18"/>
        <v>N</v>
      </c>
      <c r="Z96" s="16" t="str">
        <f t="shared" si="19"/>
        <v>N</v>
      </c>
      <c r="AA96" s="16" t="s">
        <v>15</v>
      </c>
      <c r="AB96" s="16" t="s">
        <v>15</v>
      </c>
      <c r="AC96" s="21" t="s">
        <v>16</v>
      </c>
    </row>
    <row r="97" spans="1:29">
      <c r="A97" s="23">
        <v>141</v>
      </c>
      <c r="B97" s="12">
        <v>0.48170138888888886</v>
      </c>
      <c r="C97" s="12">
        <v>0.48334490740740743</v>
      </c>
      <c r="D97" s="13">
        <v>1.6435185185185719E-3</v>
      </c>
      <c r="E97" s="14">
        <v>142.0000000000046</v>
      </c>
      <c r="F97" s="15">
        <v>0.16901408450703678</v>
      </c>
      <c r="G97" s="16" t="s">
        <v>68</v>
      </c>
      <c r="H97" s="16" t="s">
        <v>14</v>
      </c>
      <c r="I97" s="16">
        <v>24</v>
      </c>
      <c r="J97" s="16" t="s">
        <v>16</v>
      </c>
      <c r="K97" s="16" t="s">
        <v>15</v>
      </c>
      <c r="L97" s="16" t="s">
        <v>15</v>
      </c>
      <c r="M97" s="16" t="s">
        <v>15</v>
      </c>
      <c r="N97" s="16" t="s">
        <v>15</v>
      </c>
      <c r="O97" s="16" t="s">
        <v>51</v>
      </c>
      <c r="P97" s="16"/>
      <c r="Q97" s="16"/>
      <c r="R97" s="16" t="str">
        <f t="shared" si="13"/>
        <v>N</v>
      </c>
      <c r="S97" s="21" t="str">
        <f t="shared" si="14"/>
        <v>N</v>
      </c>
      <c r="T97" s="21" t="str">
        <f t="shared" si="15"/>
        <v>N</v>
      </c>
      <c r="U97" s="21" t="str">
        <f t="shared" si="16"/>
        <v>N</v>
      </c>
      <c r="V97" s="16" t="str">
        <f t="shared" si="17"/>
        <v>Y</v>
      </c>
      <c r="W97" s="21" t="str">
        <f t="shared" si="20"/>
        <v>N</v>
      </c>
      <c r="X97" s="21" t="str">
        <f t="shared" si="20"/>
        <v>N</v>
      </c>
      <c r="Y97" s="21" t="str">
        <f t="shared" si="18"/>
        <v>Y</v>
      </c>
      <c r="Z97" s="16" t="str">
        <f t="shared" si="19"/>
        <v>Y</v>
      </c>
      <c r="AA97" s="16" t="s">
        <v>15</v>
      </c>
      <c r="AB97" s="16" t="s">
        <v>15</v>
      </c>
      <c r="AC97" s="21" t="s">
        <v>16</v>
      </c>
    </row>
    <row r="98" spans="1:29">
      <c r="A98" s="22">
        <v>142</v>
      </c>
      <c r="B98" s="17">
        <v>0.48170138888888886</v>
      </c>
      <c r="C98" s="17">
        <v>0.48334490740740743</v>
      </c>
      <c r="D98" s="18">
        <v>1.6435185185185719E-3</v>
      </c>
      <c r="E98" s="19">
        <v>142.0000000000046</v>
      </c>
      <c r="F98" s="20">
        <v>0.16901408450703678</v>
      </c>
      <c r="G98" s="21" t="s">
        <v>145</v>
      </c>
      <c r="H98" s="21" t="s">
        <v>14</v>
      </c>
      <c r="I98" s="21">
        <v>24</v>
      </c>
      <c r="J98" s="21" t="s">
        <v>16</v>
      </c>
      <c r="K98" s="21" t="s">
        <v>15</v>
      </c>
      <c r="L98" s="21" t="s">
        <v>15</v>
      </c>
      <c r="M98" s="21" t="s">
        <v>15</v>
      </c>
      <c r="N98" s="21" t="s">
        <v>15</v>
      </c>
      <c r="O98" s="21" t="s">
        <v>17</v>
      </c>
      <c r="P98" s="21"/>
      <c r="Q98" s="21"/>
      <c r="R98" s="16" t="str">
        <f t="shared" si="13"/>
        <v>N</v>
      </c>
      <c r="S98" s="21" t="str">
        <f t="shared" si="14"/>
        <v>N</v>
      </c>
      <c r="T98" s="21" t="str">
        <f t="shared" si="15"/>
        <v>N</v>
      </c>
      <c r="U98" s="21" t="str">
        <f t="shared" si="16"/>
        <v>N</v>
      </c>
      <c r="V98" s="16" t="str">
        <f t="shared" si="17"/>
        <v>N</v>
      </c>
      <c r="W98" s="21" t="str">
        <f t="shared" si="20"/>
        <v>Y</v>
      </c>
      <c r="X98" s="21" t="str">
        <f t="shared" si="20"/>
        <v>N</v>
      </c>
      <c r="Y98" s="21" t="str">
        <f t="shared" si="18"/>
        <v>Y</v>
      </c>
      <c r="Z98" s="16" t="str">
        <f t="shared" si="19"/>
        <v>Y</v>
      </c>
      <c r="AA98" s="16" t="s">
        <v>15</v>
      </c>
      <c r="AB98" s="16" t="s">
        <v>15</v>
      </c>
      <c r="AC98" s="21" t="s">
        <v>16</v>
      </c>
    </row>
    <row r="99" spans="1:29">
      <c r="A99" s="23">
        <v>143</v>
      </c>
      <c r="B99" s="12">
        <v>0.48173611111111114</v>
      </c>
      <c r="C99" s="12">
        <v>0.48200231481481487</v>
      </c>
      <c r="D99" s="13">
        <v>2.6620370370372681E-4</v>
      </c>
      <c r="E99" s="14">
        <v>23.000000000001997</v>
      </c>
      <c r="F99" s="15">
        <v>1.0434782608694746</v>
      </c>
      <c r="G99" s="16" t="s">
        <v>146</v>
      </c>
      <c r="H99" s="16" t="s">
        <v>14</v>
      </c>
      <c r="I99" s="16">
        <v>24</v>
      </c>
      <c r="J99" s="16" t="s">
        <v>15</v>
      </c>
      <c r="K99" s="16" t="s">
        <v>15</v>
      </c>
      <c r="L99" s="16" t="s">
        <v>15</v>
      </c>
      <c r="M99" s="16" t="s">
        <v>15</v>
      </c>
      <c r="N99" s="16" t="s">
        <v>15</v>
      </c>
      <c r="O99" s="16" t="s">
        <v>17</v>
      </c>
      <c r="P99" s="16"/>
      <c r="Q99" s="16"/>
      <c r="R99" s="16" t="str">
        <f t="shared" si="13"/>
        <v>N</v>
      </c>
      <c r="S99" s="21" t="str">
        <f t="shared" si="14"/>
        <v>N</v>
      </c>
      <c r="T99" s="21" t="str">
        <f t="shared" si="15"/>
        <v>N</v>
      </c>
      <c r="U99" s="21" t="str">
        <f t="shared" si="16"/>
        <v>N</v>
      </c>
      <c r="V99" s="16" t="str">
        <f t="shared" si="17"/>
        <v>N</v>
      </c>
      <c r="W99" s="21" t="str">
        <f t="shared" si="20"/>
        <v>N</v>
      </c>
      <c r="X99" s="21" t="str">
        <f t="shared" si="20"/>
        <v>Y</v>
      </c>
      <c r="Y99" s="21" t="str">
        <f t="shared" si="18"/>
        <v>Y</v>
      </c>
      <c r="Z99" s="16" t="str">
        <f t="shared" si="19"/>
        <v>Y</v>
      </c>
      <c r="AA99" s="16" t="s">
        <v>15</v>
      </c>
      <c r="AB99" s="16" t="s">
        <v>15</v>
      </c>
      <c r="AC99" s="21" t="s">
        <v>16</v>
      </c>
    </row>
    <row r="100" spans="1:29">
      <c r="A100" s="22">
        <v>145</v>
      </c>
      <c r="B100" s="17">
        <v>0.48182870370370368</v>
      </c>
      <c r="C100" s="17">
        <v>0.48200231481481487</v>
      </c>
      <c r="D100" s="18">
        <v>1.7361111111119376E-4</v>
      </c>
      <c r="E100" s="19">
        <v>15.000000000007141</v>
      </c>
      <c r="F100" s="20">
        <v>1.5999999999992383</v>
      </c>
      <c r="G100" s="21" t="s">
        <v>148</v>
      </c>
      <c r="H100" s="21" t="s">
        <v>14</v>
      </c>
      <c r="I100" s="21">
        <v>24</v>
      </c>
      <c r="J100" s="21" t="s">
        <v>15</v>
      </c>
      <c r="K100" s="21" t="s">
        <v>16</v>
      </c>
      <c r="L100" s="21" t="s">
        <v>16</v>
      </c>
      <c r="M100" s="21" t="s">
        <v>15</v>
      </c>
      <c r="N100" s="21" t="s">
        <v>16</v>
      </c>
      <c r="O100" s="21" t="s">
        <v>51</v>
      </c>
      <c r="P100" s="21"/>
      <c r="Q100" s="21"/>
      <c r="R100" s="16" t="str">
        <f t="shared" si="13"/>
        <v>N</v>
      </c>
      <c r="S100" s="21" t="str">
        <f t="shared" si="14"/>
        <v>N</v>
      </c>
      <c r="T100" s="21" t="str">
        <f t="shared" si="15"/>
        <v>N</v>
      </c>
      <c r="U100" s="21" t="str">
        <f t="shared" si="16"/>
        <v>N</v>
      </c>
      <c r="V100" s="16" t="str">
        <f t="shared" si="17"/>
        <v>N</v>
      </c>
      <c r="W100" s="21" t="str">
        <f t="shared" si="20"/>
        <v>N</v>
      </c>
      <c r="X100" s="21" t="str">
        <f t="shared" si="20"/>
        <v>N</v>
      </c>
      <c r="Y100" s="21" t="str">
        <f t="shared" si="18"/>
        <v>N</v>
      </c>
      <c r="Z100" s="16" t="str">
        <f t="shared" si="19"/>
        <v>N</v>
      </c>
      <c r="AA100" s="16" t="s">
        <v>15</v>
      </c>
      <c r="AB100" s="16" t="s">
        <v>15</v>
      </c>
      <c r="AC100" s="21" t="s">
        <v>16</v>
      </c>
    </row>
    <row r="101" spans="1:29">
      <c r="A101" s="23">
        <v>147</v>
      </c>
      <c r="B101" s="12">
        <v>0.48188657407407409</v>
      </c>
      <c r="C101" s="12">
        <v>0.48212962962962963</v>
      </c>
      <c r="D101" s="13">
        <v>2.4305555555553804E-4</v>
      </c>
      <c r="E101" s="14">
        <v>20.999999999998487</v>
      </c>
      <c r="F101" s="15">
        <v>1.1428571428572252</v>
      </c>
      <c r="G101" s="16" t="s">
        <v>149</v>
      </c>
      <c r="H101" s="16" t="s">
        <v>14</v>
      </c>
      <c r="I101" s="16">
        <v>24</v>
      </c>
      <c r="J101" s="16" t="s">
        <v>15</v>
      </c>
      <c r="K101" s="16" t="s">
        <v>15</v>
      </c>
      <c r="L101" s="16" t="s">
        <v>15</v>
      </c>
      <c r="M101" s="16" t="s">
        <v>15</v>
      </c>
      <c r="N101" s="16" t="s">
        <v>16</v>
      </c>
      <c r="O101" s="16" t="s">
        <v>17</v>
      </c>
      <c r="P101" s="16"/>
      <c r="Q101" s="16"/>
      <c r="R101" s="16" t="str">
        <f t="shared" si="13"/>
        <v>Y</v>
      </c>
      <c r="S101" s="21" t="str">
        <f t="shared" si="14"/>
        <v>N</v>
      </c>
      <c r="T101" s="21" t="str">
        <f t="shared" si="15"/>
        <v>N</v>
      </c>
      <c r="U101" s="21" t="str">
        <f t="shared" si="16"/>
        <v>Y</v>
      </c>
      <c r="V101" s="16" t="str">
        <f t="shared" si="17"/>
        <v>N</v>
      </c>
      <c r="W101" s="21" t="str">
        <f t="shared" si="20"/>
        <v>N</v>
      </c>
      <c r="X101" s="21" t="str">
        <f t="shared" si="20"/>
        <v>N</v>
      </c>
      <c r="Y101" s="21" t="str">
        <f t="shared" si="18"/>
        <v>N</v>
      </c>
      <c r="Z101" s="16" t="str">
        <f t="shared" si="19"/>
        <v>N</v>
      </c>
      <c r="AA101" s="16" t="s">
        <v>15</v>
      </c>
      <c r="AB101" s="16" t="s">
        <v>15</v>
      </c>
      <c r="AC101" s="21" t="s">
        <v>16</v>
      </c>
    </row>
    <row r="102" spans="1:29">
      <c r="A102" s="22">
        <v>154</v>
      </c>
      <c r="B102" s="17">
        <v>0.48197916666666668</v>
      </c>
      <c r="C102" s="17">
        <v>0.48222222222222227</v>
      </c>
      <c r="D102" s="18">
        <v>2.4305555555559355E-4</v>
      </c>
      <c r="E102" s="19">
        <v>21.000000000003283</v>
      </c>
      <c r="F102" s="20">
        <v>1.1428571428569643</v>
      </c>
      <c r="G102" s="21" t="s">
        <v>155</v>
      </c>
      <c r="H102" s="21" t="s">
        <v>14</v>
      </c>
      <c r="I102" s="21">
        <v>24</v>
      </c>
      <c r="J102" s="21" t="s">
        <v>15</v>
      </c>
      <c r="K102" s="21" t="s">
        <v>15</v>
      </c>
      <c r="L102" s="21" t="s">
        <v>15</v>
      </c>
      <c r="M102" s="21" t="s">
        <v>15</v>
      </c>
      <c r="N102" s="21" t="s">
        <v>15</v>
      </c>
      <c r="O102" s="21" t="s">
        <v>17</v>
      </c>
      <c r="P102" s="21"/>
      <c r="Q102" s="21"/>
      <c r="R102" s="16" t="str">
        <f t="shared" si="13"/>
        <v>N</v>
      </c>
      <c r="S102" s="21" t="str">
        <f t="shared" si="14"/>
        <v>Y</v>
      </c>
      <c r="T102" s="21" t="str">
        <f t="shared" si="15"/>
        <v>N</v>
      </c>
      <c r="U102" s="21" t="str">
        <f t="shared" si="16"/>
        <v>Y</v>
      </c>
      <c r="V102" s="16" t="str">
        <f t="shared" si="17"/>
        <v>N</v>
      </c>
      <c r="W102" s="21" t="str">
        <f t="shared" si="20"/>
        <v>N</v>
      </c>
      <c r="X102" s="21" t="str">
        <f t="shared" si="20"/>
        <v>N</v>
      </c>
      <c r="Y102" s="21" t="str">
        <f t="shared" si="18"/>
        <v>N</v>
      </c>
      <c r="Z102" s="16" t="str">
        <f t="shared" si="19"/>
        <v>N</v>
      </c>
      <c r="AA102" s="16" t="s">
        <v>15</v>
      </c>
      <c r="AB102" s="16" t="s">
        <v>15</v>
      </c>
      <c r="AC102" s="21" t="s">
        <v>16</v>
      </c>
    </row>
    <row r="103" spans="1:29">
      <c r="A103" s="23">
        <v>159</v>
      </c>
      <c r="B103" s="12">
        <v>0.48219907407407409</v>
      </c>
      <c r="C103" s="12">
        <v>0.48246527777777781</v>
      </c>
      <c r="D103" s="13">
        <v>2.6620370370372681E-4</v>
      </c>
      <c r="E103" s="14">
        <v>23.000000000001997</v>
      </c>
      <c r="F103" s="15">
        <v>1.0434782608694746</v>
      </c>
      <c r="G103" s="16" t="s">
        <v>157</v>
      </c>
      <c r="H103" s="16" t="s">
        <v>14</v>
      </c>
      <c r="I103" s="16">
        <v>24</v>
      </c>
      <c r="J103" s="16" t="s">
        <v>15</v>
      </c>
      <c r="K103" s="16" t="s">
        <v>16</v>
      </c>
      <c r="L103" s="16" t="s">
        <v>16</v>
      </c>
      <c r="M103" s="16" t="s">
        <v>15</v>
      </c>
      <c r="N103" s="16" t="s">
        <v>16</v>
      </c>
      <c r="O103" s="16" t="s">
        <v>17</v>
      </c>
      <c r="P103" s="16"/>
      <c r="Q103" s="16"/>
      <c r="R103" s="16" t="str">
        <f t="shared" si="13"/>
        <v>N</v>
      </c>
      <c r="S103" s="21" t="str">
        <f t="shared" si="14"/>
        <v>N</v>
      </c>
      <c r="T103" s="21" t="str">
        <f t="shared" si="15"/>
        <v>Y</v>
      </c>
      <c r="U103" s="21" t="str">
        <f t="shared" si="16"/>
        <v>Y</v>
      </c>
      <c r="V103" s="16" t="str">
        <f t="shared" si="17"/>
        <v>N</v>
      </c>
      <c r="W103" s="21" t="str">
        <f t="shared" si="20"/>
        <v>N</v>
      </c>
      <c r="X103" s="21" t="str">
        <f t="shared" si="20"/>
        <v>N</v>
      </c>
      <c r="Y103" s="21" t="str">
        <f t="shared" si="18"/>
        <v>N</v>
      </c>
      <c r="Z103" s="16" t="str">
        <f t="shared" si="19"/>
        <v>N</v>
      </c>
      <c r="AA103" s="16" t="s">
        <v>15</v>
      </c>
      <c r="AB103" s="16" t="s">
        <v>15</v>
      </c>
      <c r="AC103" s="21" t="s">
        <v>16</v>
      </c>
    </row>
    <row r="104" spans="1:29">
      <c r="A104" s="22">
        <v>160</v>
      </c>
      <c r="B104" s="17">
        <v>0.48221064814814812</v>
      </c>
      <c r="C104" s="17">
        <v>0.48246527777777781</v>
      </c>
      <c r="D104" s="18">
        <v>2.5462962962968794E-4</v>
      </c>
      <c r="E104" s="19">
        <v>22.000000000005038</v>
      </c>
      <c r="F104" s="20">
        <v>1.090909090908841</v>
      </c>
      <c r="G104" s="21" t="s">
        <v>158</v>
      </c>
      <c r="H104" s="21" t="s">
        <v>14</v>
      </c>
      <c r="I104" s="21">
        <v>24</v>
      </c>
      <c r="J104" s="21" t="s">
        <v>15</v>
      </c>
      <c r="K104" s="21" t="s">
        <v>15</v>
      </c>
      <c r="L104" s="21" t="s">
        <v>15</v>
      </c>
      <c r="M104" s="21" t="s">
        <v>15</v>
      </c>
      <c r="N104" s="21" t="s">
        <v>16</v>
      </c>
      <c r="O104" s="21" t="s">
        <v>51</v>
      </c>
      <c r="P104" s="21"/>
      <c r="Q104" s="21"/>
      <c r="R104" s="16" t="str">
        <f t="shared" si="13"/>
        <v>Y</v>
      </c>
      <c r="S104" s="21" t="str">
        <f t="shared" si="14"/>
        <v>N</v>
      </c>
      <c r="T104" s="21" t="str">
        <f t="shared" si="15"/>
        <v>N</v>
      </c>
      <c r="U104" s="21" t="str">
        <f t="shared" si="16"/>
        <v>Y</v>
      </c>
      <c r="V104" s="16" t="str">
        <f t="shared" si="17"/>
        <v>N</v>
      </c>
      <c r="W104" s="21" t="str">
        <f t="shared" si="20"/>
        <v>N</v>
      </c>
      <c r="X104" s="21" t="str">
        <f t="shared" si="20"/>
        <v>N</v>
      </c>
      <c r="Y104" s="21" t="str">
        <f t="shared" si="18"/>
        <v>N</v>
      </c>
      <c r="Z104" s="16" t="str">
        <f t="shared" si="19"/>
        <v>N</v>
      </c>
      <c r="AA104" s="16" t="s">
        <v>15</v>
      </c>
      <c r="AB104" s="16" t="s">
        <v>15</v>
      </c>
      <c r="AC104" s="21" t="s">
        <v>16</v>
      </c>
    </row>
    <row r="105" spans="1:29">
      <c r="A105" s="23">
        <v>161</v>
      </c>
      <c r="B105" s="12">
        <v>0.48225694444444445</v>
      </c>
      <c r="C105" s="12">
        <v>0.48247685185185185</v>
      </c>
      <c r="D105" s="13">
        <v>2.1990740740740478E-4</v>
      </c>
      <c r="E105" s="14">
        <v>18.999999999999773</v>
      </c>
      <c r="F105" s="15">
        <v>1.2631578947368571</v>
      </c>
      <c r="G105" s="16" t="s">
        <v>159</v>
      </c>
      <c r="H105" s="16" t="s">
        <v>14</v>
      </c>
      <c r="I105" s="16">
        <v>24</v>
      </c>
      <c r="J105" s="16" t="s">
        <v>15</v>
      </c>
      <c r="K105" s="16" t="s">
        <v>16</v>
      </c>
      <c r="L105" s="16" t="s">
        <v>16</v>
      </c>
      <c r="M105" s="16" t="s">
        <v>15</v>
      </c>
      <c r="N105" s="16" t="s">
        <v>16</v>
      </c>
      <c r="O105" s="16" t="s">
        <v>51</v>
      </c>
      <c r="P105" s="16"/>
      <c r="Q105" s="16"/>
      <c r="R105" s="16" t="str">
        <f t="shared" si="13"/>
        <v>N</v>
      </c>
      <c r="S105" s="21" t="str">
        <f t="shared" si="14"/>
        <v>Y</v>
      </c>
      <c r="T105" s="21" t="str">
        <f t="shared" si="15"/>
        <v>N</v>
      </c>
      <c r="U105" s="21" t="str">
        <f t="shared" si="16"/>
        <v>Y</v>
      </c>
      <c r="V105" s="16" t="str">
        <f t="shared" si="17"/>
        <v>N</v>
      </c>
      <c r="W105" s="21" t="str">
        <f t="shared" si="20"/>
        <v>N</v>
      </c>
      <c r="X105" s="21" t="str">
        <f t="shared" si="20"/>
        <v>N</v>
      </c>
      <c r="Y105" s="21" t="str">
        <f t="shared" si="18"/>
        <v>N</v>
      </c>
      <c r="Z105" s="16" t="str">
        <f t="shared" si="19"/>
        <v>N</v>
      </c>
      <c r="AA105" s="16" t="s">
        <v>15</v>
      </c>
      <c r="AB105" s="16" t="s">
        <v>15</v>
      </c>
      <c r="AC105" s="21" t="s">
        <v>16</v>
      </c>
    </row>
    <row r="106" spans="1:29">
      <c r="A106" s="22">
        <v>163</v>
      </c>
      <c r="B106" s="17">
        <v>0.48234953703703703</v>
      </c>
      <c r="C106" s="17">
        <v>0.48255787037037035</v>
      </c>
      <c r="D106" s="18">
        <v>2.0833333333331039E-4</v>
      </c>
      <c r="E106" s="19">
        <v>17.999999999998018</v>
      </c>
      <c r="F106" s="20">
        <v>1.3333333333334803</v>
      </c>
      <c r="G106" s="21" t="s">
        <v>162</v>
      </c>
      <c r="H106" s="21" t="s">
        <v>14</v>
      </c>
      <c r="I106" s="21">
        <v>24</v>
      </c>
      <c r="J106" s="21" t="s">
        <v>15</v>
      </c>
      <c r="K106" s="21" t="s">
        <v>15</v>
      </c>
      <c r="L106" s="21" t="s">
        <v>15</v>
      </c>
      <c r="M106" s="21" t="s">
        <v>15</v>
      </c>
      <c r="N106" s="21" t="s">
        <v>16</v>
      </c>
      <c r="O106" s="21" t="s">
        <v>51</v>
      </c>
      <c r="P106" s="21"/>
      <c r="Q106" s="21"/>
      <c r="R106" s="16" t="str">
        <f t="shared" si="13"/>
        <v>Y</v>
      </c>
      <c r="S106" s="21" t="str">
        <f t="shared" si="14"/>
        <v>N</v>
      </c>
      <c r="T106" s="21" t="str">
        <f t="shared" si="15"/>
        <v>Y</v>
      </c>
      <c r="U106" s="21" t="str">
        <f t="shared" si="16"/>
        <v>Y</v>
      </c>
      <c r="V106" s="16" t="str">
        <f t="shared" si="17"/>
        <v>N</v>
      </c>
      <c r="W106" s="21" t="str">
        <f t="shared" si="20"/>
        <v>N</v>
      </c>
      <c r="X106" s="21" t="str">
        <f t="shared" si="20"/>
        <v>N</v>
      </c>
      <c r="Y106" s="21" t="str">
        <f t="shared" si="18"/>
        <v>N</v>
      </c>
      <c r="Z106" s="16" t="str">
        <f t="shared" si="19"/>
        <v>N</v>
      </c>
      <c r="AA106" s="16" t="s">
        <v>15</v>
      </c>
      <c r="AB106" s="16" t="s">
        <v>15</v>
      </c>
      <c r="AC106" s="21" t="s">
        <v>16</v>
      </c>
    </row>
    <row r="107" spans="1:29">
      <c r="A107" s="23">
        <v>164</v>
      </c>
      <c r="B107" s="12">
        <v>0.48239583333333336</v>
      </c>
      <c r="C107" s="12">
        <v>0.48260416666666667</v>
      </c>
      <c r="D107" s="13">
        <v>2.0833333333331039E-4</v>
      </c>
      <c r="E107" s="14">
        <v>17.999999999998018</v>
      </c>
      <c r="F107" s="15">
        <v>1.3333333333334803</v>
      </c>
      <c r="G107" s="16" t="s">
        <v>164</v>
      </c>
      <c r="H107" s="16" t="s">
        <v>14</v>
      </c>
      <c r="I107" s="16">
        <v>24</v>
      </c>
      <c r="J107" s="16" t="s">
        <v>16</v>
      </c>
      <c r="K107" s="16" t="s">
        <v>15</v>
      </c>
      <c r="L107" s="16" t="s">
        <v>15</v>
      </c>
      <c r="M107" s="16" t="s">
        <v>15</v>
      </c>
      <c r="N107" s="16" t="s">
        <v>15</v>
      </c>
      <c r="O107" s="16" t="s">
        <v>17</v>
      </c>
      <c r="P107" s="16"/>
      <c r="Q107" s="16"/>
      <c r="R107" s="16" t="str">
        <f t="shared" si="13"/>
        <v>N</v>
      </c>
      <c r="S107" s="21" t="str">
        <f t="shared" si="14"/>
        <v>Y</v>
      </c>
      <c r="T107" s="21" t="str">
        <f t="shared" si="15"/>
        <v>N</v>
      </c>
      <c r="U107" s="21" t="str">
        <f t="shared" si="16"/>
        <v>Y</v>
      </c>
      <c r="V107" s="16" t="str">
        <f t="shared" si="17"/>
        <v>N</v>
      </c>
      <c r="W107" s="21" t="str">
        <f t="shared" si="20"/>
        <v>N</v>
      </c>
      <c r="X107" s="21" t="str">
        <f t="shared" si="20"/>
        <v>N</v>
      </c>
      <c r="Y107" s="21" t="str">
        <f t="shared" si="18"/>
        <v>N</v>
      </c>
      <c r="Z107" s="16" t="str">
        <f t="shared" si="19"/>
        <v>N</v>
      </c>
      <c r="AA107" s="16" t="s">
        <v>15</v>
      </c>
      <c r="AB107" s="16" t="s">
        <v>15</v>
      </c>
      <c r="AC107" s="21" t="s">
        <v>16</v>
      </c>
    </row>
    <row r="108" spans="1:29">
      <c r="A108" s="22">
        <v>165</v>
      </c>
      <c r="B108" s="17">
        <v>0.48239583333333336</v>
      </c>
      <c r="C108" s="17">
        <v>0.48261574074074076</v>
      </c>
      <c r="D108" s="18">
        <v>2.1990740740740478E-4</v>
      </c>
      <c r="E108" s="19">
        <v>18.999999999999773</v>
      </c>
      <c r="F108" s="20">
        <v>1.2631578947368571</v>
      </c>
      <c r="G108" s="21" t="s">
        <v>165</v>
      </c>
      <c r="H108" s="21" t="s">
        <v>14</v>
      </c>
      <c r="I108" s="21">
        <v>24</v>
      </c>
      <c r="J108" s="21" t="s">
        <v>16</v>
      </c>
      <c r="K108" s="21" t="s">
        <v>15</v>
      </c>
      <c r="L108" s="21" t="s">
        <v>15</v>
      </c>
      <c r="M108" s="21" t="s">
        <v>15</v>
      </c>
      <c r="N108" s="21" t="s">
        <v>15</v>
      </c>
      <c r="O108" s="21" t="s">
        <v>17</v>
      </c>
      <c r="P108" s="21"/>
      <c r="Q108" s="21"/>
      <c r="R108" s="16" t="str">
        <f t="shared" si="13"/>
        <v>N</v>
      </c>
      <c r="S108" s="21" t="str">
        <f t="shared" si="14"/>
        <v>N</v>
      </c>
      <c r="T108" s="21" t="str">
        <f t="shared" si="15"/>
        <v>Y</v>
      </c>
      <c r="U108" s="21" t="str">
        <f t="shared" si="16"/>
        <v>Y</v>
      </c>
      <c r="V108" s="16" t="str">
        <f t="shared" si="17"/>
        <v>N</v>
      </c>
      <c r="W108" s="21" t="str">
        <f t="shared" si="20"/>
        <v>N</v>
      </c>
      <c r="X108" s="21" t="str">
        <f t="shared" si="20"/>
        <v>N</v>
      </c>
      <c r="Y108" s="21" t="str">
        <f t="shared" si="18"/>
        <v>N</v>
      </c>
      <c r="Z108" s="16" t="str">
        <f t="shared" si="19"/>
        <v>Y</v>
      </c>
      <c r="AA108" s="16" t="s">
        <v>15</v>
      </c>
      <c r="AB108" s="16" t="s">
        <v>15</v>
      </c>
      <c r="AC108" s="21" t="s">
        <v>16</v>
      </c>
    </row>
    <row r="109" spans="1:29">
      <c r="A109" s="23">
        <v>169</v>
      </c>
      <c r="B109" s="12">
        <v>0.48251157407407402</v>
      </c>
      <c r="C109" s="12">
        <v>0.48270833333333335</v>
      </c>
      <c r="D109" s="13">
        <v>1.9675925925932702E-4</v>
      </c>
      <c r="E109" s="14">
        <v>17.000000000005855</v>
      </c>
      <c r="F109" s="15">
        <v>1.4117647058818668</v>
      </c>
      <c r="G109" s="16" t="s">
        <v>170</v>
      </c>
      <c r="H109" s="16" t="s">
        <v>14</v>
      </c>
      <c r="I109" s="16">
        <v>24</v>
      </c>
      <c r="J109" s="16" t="s">
        <v>15</v>
      </c>
      <c r="K109" s="16" t="s">
        <v>15</v>
      </c>
      <c r="L109" s="16" t="s">
        <v>15</v>
      </c>
      <c r="M109" s="16" t="s">
        <v>15</v>
      </c>
      <c r="N109" s="16" t="s">
        <v>15</v>
      </c>
      <c r="O109" s="16" t="s">
        <v>51</v>
      </c>
      <c r="P109" s="16"/>
      <c r="Q109" s="16"/>
      <c r="R109" s="16" t="str">
        <f t="shared" si="13"/>
        <v>N</v>
      </c>
      <c r="S109" s="21" t="str">
        <f t="shared" si="14"/>
        <v>N</v>
      </c>
      <c r="T109" s="21" t="str">
        <f t="shared" si="15"/>
        <v>N</v>
      </c>
      <c r="U109" s="21" t="str">
        <f t="shared" si="16"/>
        <v>N</v>
      </c>
      <c r="V109" s="16" t="str">
        <f t="shared" si="17"/>
        <v>N</v>
      </c>
      <c r="W109" s="21" t="str">
        <f t="shared" si="20"/>
        <v>N</v>
      </c>
      <c r="X109" s="21" t="str">
        <f t="shared" si="20"/>
        <v>N</v>
      </c>
      <c r="Y109" s="21" t="str">
        <f t="shared" si="18"/>
        <v>N</v>
      </c>
      <c r="Z109" s="16" t="str">
        <f t="shared" si="19"/>
        <v>Y</v>
      </c>
      <c r="AA109" s="16" t="s">
        <v>15</v>
      </c>
      <c r="AB109" s="16" t="s">
        <v>15</v>
      </c>
      <c r="AC109" s="21" t="s">
        <v>16</v>
      </c>
    </row>
    <row r="110" spans="1:29">
      <c r="A110" s="22">
        <v>171</v>
      </c>
      <c r="B110" s="17">
        <v>0.48266203703703708</v>
      </c>
      <c r="C110" s="17">
        <v>0.48289351851851853</v>
      </c>
      <c r="D110" s="18">
        <v>2.3148148148144365E-4</v>
      </c>
      <c r="E110" s="19">
        <v>19.999999999996732</v>
      </c>
      <c r="F110" s="20">
        <v>1.200000000000196</v>
      </c>
      <c r="G110" s="21" t="s">
        <v>168</v>
      </c>
      <c r="H110" s="21" t="s">
        <v>14</v>
      </c>
      <c r="I110" s="21">
        <v>24</v>
      </c>
      <c r="J110" s="21" t="s">
        <v>15</v>
      </c>
      <c r="K110" s="21" t="s">
        <v>15</v>
      </c>
      <c r="L110" s="21" t="s">
        <v>15</v>
      </c>
      <c r="M110" s="21" t="s">
        <v>15</v>
      </c>
      <c r="N110" s="21" t="s">
        <v>15</v>
      </c>
      <c r="O110" s="21" t="s">
        <v>17</v>
      </c>
      <c r="P110" s="21"/>
      <c r="Q110" s="21"/>
      <c r="R110" s="16" t="str">
        <f t="shared" si="13"/>
        <v>N</v>
      </c>
      <c r="S110" s="21" t="str">
        <f t="shared" si="14"/>
        <v>N</v>
      </c>
      <c r="T110" s="21" t="str">
        <f t="shared" si="15"/>
        <v>N</v>
      </c>
      <c r="U110" s="21" t="str">
        <f t="shared" si="16"/>
        <v>N</v>
      </c>
      <c r="V110" s="16" t="str">
        <f t="shared" si="17"/>
        <v>N</v>
      </c>
      <c r="W110" s="21" t="str">
        <f t="shared" si="20"/>
        <v>N</v>
      </c>
      <c r="X110" s="21" t="str">
        <f t="shared" si="20"/>
        <v>N</v>
      </c>
      <c r="Y110" s="21" t="str">
        <f t="shared" si="18"/>
        <v>N</v>
      </c>
      <c r="Z110" s="16" t="str">
        <f t="shared" si="19"/>
        <v>N</v>
      </c>
      <c r="AA110" s="16" t="s">
        <v>15</v>
      </c>
      <c r="AB110" s="16" t="s">
        <v>15</v>
      </c>
      <c r="AC110" s="21" t="s">
        <v>16</v>
      </c>
    </row>
    <row r="111" spans="1:29">
      <c r="A111" s="23">
        <v>172</v>
      </c>
      <c r="B111" s="12">
        <v>0.48268518518518522</v>
      </c>
      <c r="C111" s="12">
        <v>0.48290509259259262</v>
      </c>
      <c r="D111" s="13">
        <v>2.1990740740740478E-4</v>
      </c>
      <c r="E111" s="14">
        <v>18.999999999999773</v>
      </c>
      <c r="F111" s="15">
        <v>1.2631578947368571</v>
      </c>
      <c r="G111" s="16" t="s">
        <v>169</v>
      </c>
      <c r="H111" s="16" t="s">
        <v>14</v>
      </c>
      <c r="I111" s="16">
        <v>24</v>
      </c>
      <c r="J111" s="16" t="s">
        <v>15</v>
      </c>
      <c r="K111" s="16" t="s">
        <v>15</v>
      </c>
      <c r="L111" s="16" t="s">
        <v>15</v>
      </c>
      <c r="M111" s="16" t="s">
        <v>15</v>
      </c>
      <c r="N111" s="16" t="s">
        <v>15</v>
      </c>
      <c r="O111" s="16" t="s">
        <v>17</v>
      </c>
      <c r="P111" s="16"/>
      <c r="Q111" s="16"/>
      <c r="R111" s="16" t="str">
        <f t="shared" si="13"/>
        <v>N</v>
      </c>
      <c r="S111" s="21" t="str">
        <f t="shared" si="14"/>
        <v>N</v>
      </c>
      <c r="T111" s="21" t="str">
        <f t="shared" si="15"/>
        <v>N</v>
      </c>
      <c r="U111" s="21" t="str">
        <f t="shared" si="16"/>
        <v>N</v>
      </c>
      <c r="V111" s="16" t="str">
        <f t="shared" si="17"/>
        <v>N</v>
      </c>
      <c r="W111" s="21" t="str">
        <f t="shared" si="20"/>
        <v>N</v>
      </c>
      <c r="X111" s="21" t="str">
        <f t="shared" si="20"/>
        <v>N</v>
      </c>
      <c r="Y111" s="21" t="str">
        <f t="shared" si="18"/>
        <v>N</v>
      </c>
      <c r="Z111" s="16" t="str">
        <f t="shared" si="19"/>
        <v>N</v>
      </c>
      <c r="AA111" s="16" t="s">
        <v>15</v>
      </c>
      <c r="AB111" s="16" t="s">
        <v>15</v>
      </c>
      <c r="AC111" s="21" t="s">
        <v>16</v>
      </c>
    </row>
    <row r="112" spans="1:29">
      <c r="A112" s="22">
        <v>174</v>
      </c>
      <c r="B112" s="17">
        <v>0.48278935185185184</v>
      </c>
      <c r="C112" s="17">
        <v>0.48299768518518515</v>
      </c>
      <c r="D112" s="18">
        <v>2.0833333333331039E-4</v>
      </c>
      <c r="E112" s="19">
        <v>17.999999999998018</v>
      </c>
      <c r="F112" s="20">
        <v>1.3333333333334803</v>
      </c>
      <c r="G112" s="21" t="s">
        <v>174</v>
      </c>
      <c r="H112" s="21" t="s">
        <v>14</v>
      </c>
      <c r="I112" s="21">
        <v>24</v>
      </c>
      <c r="J112" s="21" t="s">
        <v>15</v>
      </c>
      <c r="K112" s="21" t="s">
        <v>15</v>
      </c>
      <c r="L112" s="21" t="s">
        <v>15</v>
      </c>
      <c r="M112" s="21" t="s">
        <v>15</v>
      </c>
      <c r="N112" s="21" t="s">
        <v>15</v>
      </c>
      <c r="O112" s="21" t="s">
        <v>51</v>
      </c>
      <c r="P112" s="21"/>
      <c r="Q112" s="21"/>
      <c r="R112" s="16" t="str">
        <f t="shared" si="13"/>
        <v>N</v>
      </c>
      <c r="S112" s="21" t="str">
        <f t="shared" si="14"/>
        <v>N</v>
      </c>
      <c r="T112" s="21" t="str">
        <f t="shared" si="15"/>
        <v>N</v>
      </c>
      <c r="U112" s="21" t="str">
        <f t="shared" si="16"/>
        <v>N</v>
      </c>
      <c r="V112" s="16" t="str">
        <f t="shared" si="17"/>
        <v>N</v>
      </c>
      <c r="W112" s="21" t="str">
        <f t="shared" si="20"/>
        <v>N</v>
      </c>
      <c r="X112" s="21" t="str">
        <f t="shared" si="20"/>
        <v>N</v>
      </c>
      <c r="Y112" s="21" t="str">
        <f t="shared" si="18"/>
        <v>N</v>
      </c>
      <c r="Z112" s="16" t="str">
        <f t="shared" si="19"/>
        <v>N</v>
      </c>
      <c r="AA112" s="16" t="s">
        <v>15</v>
      </c>
      <c r="AB112" s="16" t="s">
        <v>15</v>
      </c>
      <c r="AC112" s="21" t="s">
        <v>16</v>
      </c>
    </row>
    <row r="113" spans="1:29">
      <c r="A113" s="23">
        <v>178</v>
      </c>
      <c r="B113" s="12">
        <v>0.48287037037037034</v>
      </c>
      <c r="C113" s="12">
        <v>0.48312500000000003</v>
      </c>
      <c r="D113" s="13">
        <v>2.5462962962968794E-4</v>
      </c>
      <c r="E113" s="14">
        <v>22.000000000005038</v>
      </c>
      <c r="F113" s="15">
        <v>1.090909090908841</v>
      </c>
      <c r="G113" s="16" t="s">
        <v>175</v>
      </c>
      <c r="H113" s="16" t="s">
        <v>14</v>
      </c>
      <c r="I113" s="16">
        <v>24</v>
      </c>
      <c r="J113" s="16" t="s">
        <v>15</v>
      </c>
      <c r="K113" s="16" t="s">
        <v>15</v>
      </c>
      <c r="L113" s="16" t="s">
        <v>15</v>
      </c>
      <c r="M113" s="16" t="s">
        <v>15</v>
      </c>
      <c r="N113" s="16" t="s">
        <v>15</v>
      </c>
      <c r="O113" s="16" t="s">
        <v>17</v>
      </c>
      <c r="P113" s="16"/>
      <c r="Q113" s="16"/>
      <c r="R113" s="16" t="str">
        <f t="shared" si="13"/>
        <v>N</v>
      </c>
      <c r="S113" s="21" t="str">
        <f t="shared" si="14"/>
        <v>N</v>
      </c>
      <c r="T113" s="21" t="str">
        <f t="shared" si="15"/>
        <v>N</v>
      </c>
      <c r="U113" s="21" t="str">
        <f t="shared" si="16"/>
        <v>N</v>
      </c>
      <c r="V113" s="16" t="str">
        <f t="shared" si="17"/>
        <v>N</v>
      </c>
      <c r="W113" s="21" t="str">
        <f t="shared" si="20"/>
        <v>N</v>
      </c>
      <c r="X113" s="21" t="str">
        <f t="shared" si="20"/>
        <v>N</v>
      </c>
      <c r="Y113" s="21" t="str">
        <f t="shared" si="18"/>
        <v>N</v>
      </c>
      <c r="Z113" s="16" t="str">
        <f t="shared" si="19"/>
        <v>N</v>
      </c>
      <c r="AA113" s="16" t="s">
        <v>15</v>
      </c>
      <c r="AB113" s="16" t="s">
        <v>15</v>
      </c>
      <c r="AC113" s="21" t="s">
        <v>16</v>
      </c>
    </row>
    <row r="114" spans="1:29">
      <c r="A114" s="22">
        <v>180</v>
      </c>
      <c r="B114" s="17">
        <v>0.48293981481481479</v>
      </c>
      <c r="C114" s="17">
        <v>0.48313657407407407</v>
      </c>
      <c r="D114" s="18">
        <v>1.9675925925927151E-4</v>
      </c>
      <c r="E114" s="19">
        <v>17.000000000001059</v>
      </c>
      <c r="F114" s="20">
        <v>1.4117647058822651</v>
      </c>
      <c r="G114" s="21" t="s">
        <v>177</v>
      </c>
      <c r="H114" s="21" t="s">
        <v>14</v>
      </c>
      <c r="I114" s="21">
        <v>24</v>
      </c>
      <c r="J114" s="21" t="s">
        <v>15</v>
      </c>
      <c r="K114" s="21" t="s">
        <v>15</v>
      </c>
      <c r="L114" s="21" t="s">
        <v>15</v>
      </c>
      <c r="M114" s="21" t="s">
        <v>15</v>
      </c>
      <c r="N114" s="21" t="s">
        <v>15</v>
      </c>
      <c r="O114" s="21" t="s">
        <v>17</v>
      </c>
      <c r="P114" s="21"/>
      <c r="Q114" s="21"/>
      <c r="R114" s="16" t="str">
        <f t="shared" si="13"/>
        <v>N</v>
      </c>
      <c r="S114" s="21" t="str">
        <f t="shared" si="14"/>
        <v>N</v>
      </c>
      <c r="T114" s="21" t="str">
        <f t="shared" si="15"/>
        <v>N</v>
      </c>
      <c r="U114" s="21" t="str">
        <f t="shared" si="16"/>
        <v>N</v>
      </c>
      <c r="V114" s="16" t="str">
        <f t="shared" si="17"/>
        <v>N</v>
      </c>
      <c r="W114" s="21" t="str">
        <f t="shared" si="20"/>
        <v>N</v>
      </c>
      <c r="X114" s="21" t="str">
        <f t="shared" si="20"/>
        <v>N</v>
      </c>
      <c r="Y114" s="21" t="str">
        <f t="shared" si="18"/>
        <v>N</v>
      </c>
      <c r="Z114" s="16" t="str">
        <f t="shared" si="19"/>
        <v>N</v>
      </c>
      <c r="AA114" s="16" t="s">
        <v>15</v>
      </c>
      <c r="AB114" s="16" t="s">
        <v>15</v>
      </c>
      <c r="AC114" s="21" t="s">
        <v>16</v>
      </c>
    </row>
    <row r="115" spans="1:29">
      <c r="A115" s="23">
        <v>181</v>
      </c>
      <c r="B115" s="12">
        <v>0.48295138888888894</v>
      </c>
      <c r="C115" s="12">
        <v>0.48314814814814816</v>
      </c>
      <c r="D115" s="13">
        <v>1.96759259259216E-4</v>
      </c>
      <c r="E115" s="14">
        <v>16.999999999996263</v>
      </c>
      <c r="F115" s="15">
        <v>1.4117647058826632</v>
      </c>
      <c r="G115" s="16" t="s">
        <v>178</v>
      </c>
      <c r="H115" s="16" t="s">
        <v>14</v>
      </c>
      <c r="I115" s="16">
        <v>24</v>
      </c>
      <c r="J115" s="16" t="s">
        <v>15</v>
      </c>
      <c r="K115" s="16" t="s">
        <v>15</v>
      </c>
      <c r="L115" s="16" t="s">
        <v>15</v>
      </c>
      <c r="M115" s="16" t="s">
        <v>15</v>
      </c>
      <c r="N115" s="16" t="s">
        <v>15</v>
      </c>
      <c r="O115" s="16" t="s">
        <v>17</v>
      </c>
      <c r="P115" s="16"/>
      <c r="Q115" s="16"/>
      <c r="R115" s="16" t="str">
        <f t="shared" si="13"/>
        <v>N</v>
      </c>
      <c r="S115" s="21" t="str">
        <f t="shared" si="14"/>
        <v>N</v>
      </c>
      <c r="T115" s="21" t="str">
        <f t="shared" si="15"/>
        <v>N</v>
      </c>
      <c r="U115" s="21" t="str">
        <f t="shared" si="16"/>
        <v>N</v>
      </c>
      <c r="V115" s="16" t="str">
        <f t="shared" si="17"/>
        <v>N</v>
      </c>
      <c r="W115" s="21" t="str">
        <f t="shared" si="20"/>
        <v>N</v>
      </c>
      <c r="X115" s="21" t="str">
        <f t="shared" si="20"/>
        <v>N</v>
      </c>
      <c r="Y115" s="21" t="str">
        <f t="shared" si="18"/>
        <v>N</v>
      </c>
      <c r="Z115" s="16" t="str">
        <f t="shared" si="19"/>
        <v>N</v>
      </c>
      <c r="AA115" s="16" t="s">
        <v>15</v>
      </c>
      <c r="AB115" s="16" t="s">
        <v>15</v>
      </c>
      <c r="AC115" s="21" t="s">
        <v>16</v>
      </c>
    </row>
    <row r="120" spans="1:29">
      <c r="E120" t="s">
        <v>258</v>
      </c>
      <c r="F120" s="4">
        <f>SUBTOTAL(102,F2:F115)</f>
        <v>74</v>
      </c>
      <c r="H120">
        <f>(F120*F121+Towards!F101*Towards!F100)/(Towards!F100+Away!F120)</f>
        <v>1.1596081668477183</v>
      </c>
    </row>
    <row r="121" spans="1:29">
      <c r="E121" t="s">
        <v>256</v>
      </c>
      <c r="F121" s="4">
        <f>SUBTOTAL(101,F2:F115)</f>
        <v>1.1392465092003512</v>
      </c>
    </row>
    <row r="122" spans="1:29">
      <c r="E122" t="s">
        <v>257</v>
      </c>
      <c r="F122" s="4">
        <f>SUBTOTAL(107,F2:F115)</f>
        <v>0.32187155580408522</v>
      </c>
    </row>
  </sheetData>
  <autoFilter ref="A1:AC115" xr:uid="{73B89BDF-D69E-554D-B838-83DC02F5CB76}">
    <filterColumn colId="28">
      <filters>
        <filter val="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Analysis</vt:lpstr>
      <vt:lpstr>Raw data</vt:lpstr>
      <vt:lpstr>Towards</vt:lpstr>
      <vt:lpstr>Away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2018-04-25T02:32:12Z</dcterms:created>
  <dcterms:modified xsi:type="dcterms:W3CDTF">2018-07-10T01:38:17Z</dcterms:modified>
  <cp:category/>
  <cp:contentStatus/>
</cp:coreProperties>
</file>